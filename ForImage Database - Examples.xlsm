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AHGM\0. APLICACIONES\ImaginDataBase\"/>
    </mc:Choice>
  </mc:AlternateContent>
  <bookViews>
    <workbookView showHorizontalScroll="0" showVerticalScroll="0" showSheetTabs="0" xWindow="0" yWindow="0" windowWidth="24000" windowHeight="9615" tabRatio="733" activeTab="1"/>
  </bookViews>
  <sheets>
    <sheet name="DICCIONARIO" sheetId="15" r:id="rId1"/>
    <sheet name="INICIO" sheetId="16" r:id="rId2"/>
    <sheet name="HOJA_TIPO_NUEVO_TEMA" sheetId="10" state="hidden" r:id="rId3"/>
    <sheet name="CONSULTAR IMAGEN" sheetId="2" r:id="rId4"/>
    <sheet name="PERSONAJES" sheetId="18" r:id="rId5"/>
    <sheet name="T_FORMULAS" sheetId="19" r:id="rId6"/>
    <sheet name="T_TEXTO_EN_IMAGEN" sheetId="20" r:id="rId7"/>
  </sheets>
  <definedNames>
    <definedName name="_xlnm._FilterDatabase" localSheetId="0" hidden="1">DICCIONARIO!$A$1:$M$67</definedName>
    <definedName name="AUTOR">INICIO!$J$7</definedName>
    <definedName name="CODIGO_IMAGEN">'CONSULTAR IMAGEN'!$K$5</definedName>
    <definedName name="DRIVE">'CONSULTAR IMAGEN'!$J$17</definedName>
    <definedName name="DRIVE_DROPBOX">'CONSULTAR IMAGEN'!$K$14</definedName>
    <definedName name="DROPBOX">'CONSULTAR IMAGEN'!$J$15</definedName>
    <definedName name="F_TEMA">'CONSULTAR IMAGEN'!$C$3</definedName>
    <definedName name="I_Beige" localSheetId="6">T_TEXTO_EN_IMAGEN!$C$6</definedName>
    <definedName name="I_Blanco" localSheetId="6">T_TEXTO_EN_IMAGEN!$C$4</definedName>
    <definedName name="I_CABALLO_BLANCO" localSheetId="6">T_TEXTO_EN_IMAGEN!$C$3</definedName>
    <definedName name="I_FRACCIÓN" localSheetId="5">T_FORMULAS!$C$3</definedName>
    <definedName name="I_Negro" localSheetId="6">T_TEXTO_EN_IMAGEN!$C$5</definedName>
    <definedName name="I_TRIGONOMETRÍA" localSheetId="5">T_FORMULAS!$C$4</definedName>
    <definedName name="IDIOMA">INICIO!$A$37</definedName>
    <definedName name="IMAGEN">INDIRECT('CONSULTAR IMAGEN'!$F$4)</definedName>
    <definedName name="LANGUAGE">INICIO!$A$11</definedName>
    <definedName name="LISTA_PERSONAJES">PERSONAJES!$B$3:B14</definedName>
    <definedName name="LISTA_T_FORMULAS">T_FORMULAS!$B$3:B4</definedName>
    <definedName name="LISTA_T_TEXTO_EN_IMAGEN">T_TEXTO_EN_IMAGEN!$B$3:B7</definedName>
    <definedName name="N_TEMAS">'CONSULTAR IMAGEN'!$C$1</definedName>
    <definedName name="NIÑO_1" localSheetId="4">PERSONAJES!$C$3</definedName>
    <definedName name="NIÑO_2" localSheetId="4">PERSONAJES!$C$4</definedName>
    <definedName name="NIÑO_3" localSheetId="4">PERSONAJES!$C$5</definedName>
    <definedName name="NIÑO_HABLANDO_LENTO" localSheetId="4">PERSONAJES!$C$6</definedName>
    <definedName name="NIÑO_HABLANDO_RÁPIDO" localSheetId="4">PERSONAJES!$C$7</definedName>
    <definedName name="NOMBRE_PRG">INICIO!$G$1</definedName>
    <definedName name="PREGUNTAR_IDIOMA">INICIO!$B$37</definedName>
    <definedName name="PROFE_1" localSheetId="4">PERSONAJES!$C$8</definedName>
    <definedName name="PROFE_2" localSheetId="4">PERSONAJES!$C$9</definedName>
    <definedName name="PROFE_3" localSheetId="4">PERSONAJES!$C$10</definedName>
    <definedName name="PROFE_HABLANDO_LENTO" localSheetId="4">PERSONAJES!$C$11</definedName>
    <definedName name="PROFE_HABLANDO_RÁPDIO" localSheetId="4">PERSONAJES!$C$12</definedName>
    <definedName name="Z_CI_00_">DICCIONARIO!$L$36</definedName>
    <definedName name="Z_CI_00_D">DICCIONARIO!$K$36</definedName>
    <definedName name="Z_CI_00_E">DICCIONARIO!$G$36</definedName>
    <definedName name="Z_CI_00_F">DICCIONARIO!$H$36</definedName>
    <definedName name="Z_CI_00_I">DICCIONARIO!$J$36</definedName>
    <definedName name="Z_CI_00_O">DICCIONARIO!$E$36</definedName>
    <definedName name="Z_CI_00_P">DICCIONARIO!$I$36</definedName>
    <definedName name="Z_CI_00_S">DICCIONARIO!$F$36</definedName>
    <definedName name="Z_CI_01_">DICCIONARIO!$L$15</definedName>
    <definedName name="Z_CI_01_D">DICCIONARIO!$K$15</definedName>
    <definedName name="Z_CI_01_E">DICCIONARIO!$G$15</definedName>
    <definedName name="Z_CI_01_F">DICCIONARIO!$H$15</definedName>
    <definedName name="Z_CI_01_I">DICCIONARIO!$J$15</definedName>
    <definedName name="Z_CI_01_O">DICCIONARIO!$E$15</definedName>
    <definedName name="Z_CI_01_P">DICCIONARIO!$I$15</definedName>
    <definedName name="Z_CI_01_S">DICCIONARIO!$F$15</definedName>
    <definedName name="Z_CI_02_">DICCIONARIO!$L$16</definedName>
    <definedName name="Z_CI_02_D">DICCIONARIO!$K$16</definedName>
    <definedName name="Z_CI_02_E">DICCIONARIO!$G$16</definedName>
    <definedName name="Z_CI_02_F">DICCIONARIO!$H$16</definedName>
    <definedName name="Z_CI_02_I">DICCIONARIO!$J$16</definedName>
    <definedName name="Z_CI_02_O">DICCIONARIO!$E$16</definedName>
    <definedName name="Z_CI_02_P">DICCIONARIO!$I$16</definedName>
    <definedName name="Z_CI_02_S">DICCIONARIO!$F$16</definedName>
    <definedName name="Z_CI_03_">DICCIONARIO!$L$17</definedName>
    <definedName name="Z_CI_03_D">DICCIONARIO!$K$17</definedName>
    <definedName name="Z_CI_03_E">DICCIONARIO!$G$17</definedName>
    <definedName name="Z_CI_03_F">DICCIONARIO!$H$17</definedName>
    <definedName name="Z_CI_03_I">DICCIONARIO!$J$17</definedName>
    <definedName name="Z_CI_03_O">DICCIONARIO!$E$17</definedName>
    <definedName name="Z_CI_03_P">DICCIONARIO!$I$17</definedName>
    <definedName name="Z_CI_03_S">DICCIONARIO!$F$17</definedName>
    <definedName name="Z_CI_04_">DICCIONARIO!$L$18</definedName>
    <definedName name="Z_CI_04_D">DICCIONARIO!$K$18</definedName>
    <definedName name="Z_CI_04_E">DICCIONARIO!$G$18</definedName>
    <definedName name="Z_CI_04_F">DICCIONARIO!$H$18</definedName>
    <definedName name="Z_CI_04_I">DICCIONARIO!$J$18</definedName>
    <definedName name="Z_CI_04_O">DICCIONARIO!$E$18</definedName>
    <definedName name="Z_CI_04_P">DICCIONARIO!$I$18</definedName>
    <definedName name="Z_CI_04_S">DICCIONARIO!$F$18</definedName>
    <definedName name="Z_CI_05_">DICCIONARIO!$L$19</definedName>
    <definedName name="Z_CI_05_D">DICCIONARIO!$K$19</definedName>
    <definedName name="Z_CI_05_E">DICCIONARIO!$G$19</definedName>
    <definedName name="Z_CI_05_F">DICCIONARIO!$H$19</definedName>
    <definedName name="Z_CI_05_I">DICCIONARIO!$J$19</definedName>
    <definedName name="Z_CI_05_O">DICCIONARIO!$E$19</definedName>
    <definedName name="Z_CI_05_P">DICCIONARIO!$I$19</definedName>
    <definedName name="Z_CI_05_S">DICCIONARIO!$F$19</definedName>
    <definedName name="Z_CI_06_">DICCIONARIO!$L$20</definedName>
    <definedName name="Z_CI_06_D">DICCIONARIO!$K$20</definedName>
    <definedName name="Z_CI_06_E">DICCIONARIO!$G$20</definedName>
    <definedName name="Z_CI_06_F">DICCIONARIO!$H$20</definedName>
    <definedName name="Z_CI_06_I">DICCIONARIO!$J$20</definedName>
    <definedName name="Z_CI_06_O">DICCIONARIO!$E$20</definedName>
    <definedName name="Z_CI_06_P">DICCIONARIO!$I$20</definedName>
    <definedName name="Z_CI_06_S">DICCIONARIO!$F$20</definedName>
    <definedName name="Z_CI_07_">DICCIONARIO!$L$21</definedName>
    <definedName name="Z_CI_07_D">DICCIONARIO!$K$21</definedName>
    <definedName name="Z_CI_07_E">DICCIONARIO!$G$21</definedName>
    <definedName name="Z_CI_07_F">DICCIONARIO!$H$21</definedName>
    <definedName name="Z_CI_07_I">DICCIONARIO!$J$21</definedName>
    <definedName name="Z_CI_07_O">DICCIONARIO!$E$21</definedName>
    <definedName name="Z_CI_07_P">DICCIONARIO!$I$21</definedName>
    <definedName name="Z_CI_07_S">DICCIONARIO!$F$21</definedName>
    <definedName name="Z_CI_08_">DICCIONARIO!$L$22</definedName>
    <definedName name="Z_CI_08_D">DICCIONARIO!$K$22</definedName>
    <definedName name="Z_CI_08_E">DICCIONARIO!$G$22</definedName>
    <definedName name="Z_CI_08_F">DICCIONARIO!$H$22</definedName>
    <definedName name="Z_CI_08_I">DICCIONARIO!$J$22</definedName>
    <definedName name="Z_CI_08_O">DICCIONARIO!$E$22</definedName>
    <definedName name="Z_CI_08_P">DICCIONARIO!$I$22</definedName>
    <definedName name="Z_CI_08_S">DICCIONARIO!$F$22</definedName>
    <definedName name="Z_CI_09_">DICCIONARIO!$L$23</definedName>
    <definedName name="Z_CI_09_D">DICCIONARIO!$K$23</definedName>
    <definedName name="Z_CI_09_E">DICCIONARIO!$G$23</definedName>
    <definedName name="Z_CI_09_F">DICCIONARIO!$H$23</definedName>
    <definedName name="Z_CI_09_I">DICCIONARIO!$J$23</definedName>
    <definedName name="Z_CI_09_O">DICCIONARIO!$E$23</definedName>
    <definedName name="Z_CI_09_P">DICCIONARIO!$I$23</definedName>
    <definedName name="Z_CI_09_S">DICCIONARIO!$F$23</definedName>
    <definedName name="Z_CI_10_">DICCIONARIO!$L$24</definedName>
    <definedName name="Z_CI_10_D">DICCIONARIO!$K$24</definedName>
    <definedName name="Z_CI_10_E">DICCIONARIO!$G$24</definedName>
    <definedName name="Z_CI_10_F">DICCIONARIO!$H$24</definedName>
    <definedName name="Z_CI_10_I">DICCIONARIO!$J$24</definedName>
    <definedName name="Z_CI_10_O">DICCIONARIO!$E$24</definedName>
    <definedName name="Z_CI_10_P">DICCIONARIO!$I$24</definedName>
    <definedName name="Z_CI_10_S">DICCIONARIO!$F$24</definedName>
    <definedName name="Z_CI_11_">DICCIONARIO!$L$25</definedName>
    <definedName name="Z_CI_11_D">DICCIONARIO!$K$25</definedName>
    <definedName name="Z_CI_11_E">DICCIONARIO!$G$25</definedName>
    <definedName name="Z_CI_11_F">DICCIONARIO!$H$25</definedName>
    <definedName name="Z_CI_11_I">DICCIONARIO!$J$25</definedName>
    <definedName name="Z_CI_11_O">DICCIONARIO!$E$25</definedName>
    <definedName name="Z_CI_11_P">DICCIONARIO!$I$25</definedName>
    <definedName name="Z_CI_11_S">DICCIONARIO!$F$25</definedName>
    <definedName name="Z_CI_12_">DICCIONARIO!$L$26</definedName>
    <definedName name="Z_CI_12_D">DICCIONARIO!$K$26</definedName>
    <definedName name="Z_CI_12_E">DICCIONARIO!$G$26</definedName>
    <definedName name="Z_CI_12_F">DICCIONARIO!$H$26</definedName>
    <definedName name="Z_CI_12_I">DICCIONARIO!$J$26</definedName>
    <definedName name="Z_CI_12_O">DICCIONARIO!$E$26</definedName>
    <definedName name="Z_CI_12_P">DICCIONARIO!$I$26</definedName>
    <definedName name="Z_CI_12_S">DICCIONARIO!$F$26</definedName>
    <definedName name="Z_CI_13_">DICCIONARIO!$L$27</definedName>
    <definedName name="Z_CI_13_D">DICCIONARIO!$K$27</definedName>
    <definedName name="Z_CI_13_E">DICCIONARIO!$G$27</definedName>
    <definedName name="Z_CI_13_F">DICCIONARIO!$H$27</definedName>
    <definedName name="Z_CI_13_I">DICCIONARIO!$J$27</definedName>
    <definedName name="Z_CI_13_O">DICCIONARIO!$E$27</definedName>
    <definedName name="Z_CI_13_P">DICCIONARIO!$I$27</definedName>
    <definedName name="Z_CI_13_S">DICCIONARIO!$F$27</definedName>
    <definedName name="Z_CI_14_">DICCIONARIO!$L$28</definedName>
    <definedName name="Z_CI_14_D">DICCIONARIO!$K$28</definedName>
    <definedName name="Z_CI_14_E">DICCIONARIO!$G$28</definedName>
    <definedName name="Z_CI_14_F">DICCIONARIO!$H$28</definedName>
    <definedName name="Z_CI_14_I">DICCIONARIO!$J$28</definedName>
    <definedName name="Z_CI_14_O">DICCIONARIO!$E$28</definedName>
    <definedName name="Z_CI_14_P">DICCIONARIO!$I$28</definedName>
    <definedName name="Z_CI_14_S">DICCIONARIO!$F$28</definedName>
    <definedName name="Z_CI_15_">DICCIONARIO!$L$29</definedName>
    <definedName name="Z_CI_15_D">DICCIONARIO!$K$29</definedName>
    <definedName name="Z_CI_15_E">DICCIONARIO!$G$29</definedName>
    <definedName name="Z_CI_15_F">DICCIONARIO!$H$29</definedName>
    <definedName name="Z_CI_15_I">DICCIONARIO!$J$29</definedName>
    <definedName name="Z_CI_15_O">DICCIONARIO!$E$29</definedName>
    <definedName name="Z_CI_15_P">DICCIONARIO!$I$29</definedName>
    <definedName name="Z_CI_15_S">DICCIONARIO!$F$29</definedName>
    <definedName name="Z_CI_16_">DICCIONARIO!$L$30</definedName>
    <definedName name="Z_CI_16_D">DICCIONARIO!$K$30</definedName>
    <definedName name="Z_CI_16_E">DICCIONARIO!$G$30</definedName>
    <definedName name="Z_CI_16_F">DICCIONARIO!$H$30</definedName>
    <definedName name="Z_CI_16_I">DICCIONARIO!$J$30</definedName>
    <definedName name="Z_CI_16_O">DICCIONARIO!$E$30</definedName>
    <definedName name="Z_CI_16_P">DICCIONARIO!$I$30</definedName>
    <definedName name="Z_CI_16_S">DICCIONARIO!$F$30</definedName>
    <definedName name="Z_CI_17_">DICCIONARIO!$L$31</definedName>
    <definedName name="Z_CI_17_D">DICCIONARIO!$K$31</definedName>
    <definedName name="Z_CI_17_E">DICCIONARIO!$G$31</definedName>
    <definedName name="Z_CI_17_F">DICCIONARIO!$H$31</definedName>
    <definedName name="Z_CI_17_I">DICCIONARIO!$J$31</definedName>
    <definedName name="Z_CI_17_O">DICCIONARIO!$E$31</definedName>
    <definedName name="Z_CI_17_P">DICCIONARIO!$I$31</definedName>
    <definedName name="Z_CI_17_S">DICCIONARIO!$F$31</definedName>
    <definedName name="Z_CI_18_">DICCIONARIO!$L$32</definedName>
    <definedName name="Z_CI_18_D">DICCIONARIO!$K$32</definedName>
    <definedName name="Z_CI_18_E">DICCIONARIO!$G$32</definedName>
    <definedName name="Z_CI_18_F">DICCIONARIO!$H$32</definedName>
    <definedName name="Z_CI_18_I">DICCIONARIO!$J$32</definedName>
    <definedName name="Z_CI_18_O">DICCIONARIO!$E$32</definedName>
    <definedName name="Z_CI_18_P">DICCIONARIO!$I$32</definedName>
    <definedName name="Z_CI_18_S">DICCIONARIO!$F$32</definedName>
    <definedName name="Z_CI_19_">DICCIONARIO!$L$33</definedName>
    <definedName name="Z_CI_19_D">DICCIONARIO!$K$33</definedName>
    <definedName name="Z_CI_19_E">DICCIONARIO!$G$33</definedName>
    <definedName name="Z_CI_19_F">DICCIONARIO!$H$33</definedName>
    <definedName name="Z_CI_19_I">DICCIONARIO!$J$33</definedName>
    <definedName name="Z_CI_19_O">DICCIONARIO!$E$33</definedName>
    <definedName name="Z_CI_19_P">DICCIONARIO!$I$33</definedName>
    <definedName name="Z_CI_19_S">DICCIONARIO!$F$33</definedName>
    <definedName name="Z_CI_20_">DICCIONARIO!$L$34</definedName>
    <definedName name="Z_CI_20_D">DICCIONARIO!$K$34</definedName>
    <definedName name="Z_CI_20_E">DICCIONARIO!$G$34</definedName>
    <definedName name="Z_CI_20_F">DICCIONARIO!$H$34</definedName>
    <definedName name="Z_CI_20_I">DICCIONARIO!$J$34</definedName>
    <definedName name="Z_CI_20_O">DICCIONARIO!$E$34</definedName>
    <definedName name="Z_CI_20_P">DICCIONARIO!$I$34</definedName>
    <definedName name="Z_CI_20_S">DICCIONARIO!$F$34</definedName>
    <definedName name="Z_CI_21_">DICCIONARIO!$L$35</definedName>
    <definedName name="Z_CI_21_D">DICCIONARIO!$K$35</definedName>
    <definedName name="Z_CI_21_E">DICCIONARIO!$G$35</definedName>
    <definedName name="Z_CI_21_F">DICCIONARIO!$H$35</definedName>
    <definedName name="Z_CI_21_I">DICCIONARIO!$J$35</definedName>
    <definedName name="Z_CI_21_O">DICCIONARIO!$E$35</definedName>
    <definedName name="Z_CI_21_P">DICCIONARIO!$I$35</definedName>
    <definedName name="Z_CI_21_S">DICCIONARIO!$F$35</definedName>
    <definedName name="Z_HT_01_">DICCIONARIO!$L$37</definedName>
    <definedName name="Z_HT_01_D">DICCIONARIO!$K$37</definedName>
    <definedName name="Z_HT_01_E">DICCIONARIO!$G$37</definedName>
    <definedName name="Z_HT_01_F">DICCIONARIO!$H$37</definedName>
    <definedName name="Z_HT_01_I">DICCIONARIO!$J$37</definedName>
    <definedName name="Z_HT_01_O">DICCIONARIO!$E$37</definedName>
    <definedName name="Z_HT_01_P">DICCIONARIO!$I$37</definedName>
    <definedName name="Z_HT_01_S">DICCIONARIO!$F$37</definedName>
    <definedName name="Z_HT_02_">DICCIONARIO!$L$38</definedName>
    <definedName name="Z_HT_02_D">DICCIONARIO!$K$38</definedName>
    <definedName name="Z_HT_02_E">DICCIONARIO!$G$38</definedName>
    <definedName name="Z_HT_02_F">DICCIONARIO!$H$38</definedName>
    <definedName name="Z_HT_02_I">DICCIONARIO!$J$38</definedName>
    <definedName name="Z_HT_02_O">DICCIONARIO!$E$38</definedName>
    <definedName name="Z_HT_02_P">DICCIONARIO!$I$38</definedName>
    <definedName name="Z_HT_02_S">DICCIONARIO!$F$38</definedName>
    <definedName name="Z_HT_03_">DICCIONARIO!$L$39</definedName>
    <definedName name="Z_HT_03_D">DICCIONARIO!$K$39</definedName>
    <definedName name="Z_HT_03_E">DICCIONARIO!$G$39</definedName>
    <definedName name="Z_HT_03_F">DICCIONARIO!$H$39</definedName>
    <definedName name="Z_HT_03_I">DICCIONARIO!$J$39</definedName>
    <definedName name="Z_HT_03_O">DICCIONARIO!$E$39</definedName>
    <definedName name="Z_HT_03_P">DICCIONARIO!$I$39</definedName>
    <definedName name="Z_HT_03_S">DICCIONARIO!$F$39</definedName>
    <definedName name="Z_HT_04_">DICCIONARIO!$L$40</definedName>
    <definedName name="Z_HT_04_D">DICCIONARIO!$K$40</definedName>
    <definedName name="Z_HT_04_E">DICCIONARIO!$G$40</definedName>
    <definedName name="Z_HT_04_F">DICCIONARIO!$H$40</definedName>
    <definedName name="Z_HT_04_I">DICCIONARIO!$J$40</definedName>
    <definedName name="Z_HT_04_O">DICCIONARIO!$E$40</definedName>
    <definedName name="Z_HT_04_P">DICCIONARIO!$I$40</definedName>
    <definedName name="Z_HT_04_S">DICCIONARIO!$F$40</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TX_00_">DICCIONARIO!$L$41</definedName>
    <definedName name="Z_TX_00_1_">DICCIONARIO!$L$42</definedName>
    <definedName name="Z_TX_00_1_D">DICCIONARIO!$K$42</definedName>
    <definedName name="Z_TX_00_1_E">DICCIONARIO!$G$42</definedName>
    <definedName name="Z_TX_00_1_F">DICCIONARIO!$H$42</definedName>
    <definedName name="Z_TX_00_1_I">DICCIONARIO!$J$42</definedName>
    <definedName name="Z_TX_00_1_O">DICCIONARIO!$E$42</definedName>
    <definedName name="Z_TX_00_1_P">DICCIONARIO!$I$42</definedName>
    <definedName name="Z_TX_00_1_S">DICCIONARIO!$F$42</definedName>
    <definedName name="Z_TX_00_2_">DICCIONARIO!$L$43</definedName>
    <definedName name="Z_TX_00_2_D">DICCIONARIO!$K$43</definedName>
    <definedName name="Z_TX_00_2_E">DICCIONARIO!$G$43</definedName>
    <definedName name="Z_TX_00_2_F">DICCIONARIO!$H$43</definedName>
    <definedName name="Z_TX_00_2_I">DICCIONARIO!$J$43</definedName>
    <definedName name="Z_TX_00_2_O">DICCIONARIO!$E$43</definedName>
    <definedName name="Z_TX_00_2_P">DICCIONARIO!$I$43</definedName>
    <definedName name="Z_TX_00_2_S">DICCIONARIO!$F$43</definedName>
    <definedName name="Z_TX_00_D">DICCIONARIO!$K$41</definedName>
    <definedName name="Z_TX_00_E">DICCIONARIO!$G$41</definedName>
    <definedName name="Z_TX_00_F">DICCIONARIO!$H$41</definedName>
    <definedName name="Z_TX_00_I">DICCIONARIO!$J$41</definedName>
    <definedName name="Z_TX_00_O">DICCIONARIO!$E$41</definedName>
    <definedName name="Z_TX_00_P">DICCIONARIO!$I$41</definedName>
    <definedName name="Z_TX_00_S">DICCIONARIO!$F$41</definedName>
    <definedName name="Z_TX_01_">DICCIONARIO!$L$44</definedName>
    <definedName name="Z_TX_01_D">DICCIONARIO!$K$44</definedName>
    <definedName name="Z_TX_01_E">DICCIONARIO!$G$44</definedName>
    <definedName name="Z_TX_01_F">DICCIONARIO!$H$44</definedName>
    <definedName name="Z_TX_01_I">DICCIONARIO!$J$44</definedName>
    <definedName name="Z_TX_01_O">DICCIONARIO!$E$44</definedName>
    <definedName name="Z_TX_01_P">DICCIONARIO!$I$44</definedName>
    <definedName name="Z_TX_01_S">DICCIONARIO!$F$44</definedName>
    <definedName name="Z_TX_02_">DICCIONARIO!$L$45</definedName>
    <definedName name="Z_TX_02_D">DICCIONARIO!$K$45</definedName>
    <definedName name="Z_TX_02_E">DICCIONARIO!$G$45</definedName>
    <definedName name="Z_TX_02_F">DICCIONARIO!$H$45</definedName>
    <definedName name="Z_TX_02_I">DICCIONARIO!$J$45</definedName>
    <definedName name="Z_TX_02_O">DICCIONARIO!$E$45</definedName>
    <definedName name="Z_TX_02_P">DICCIONARIO!$I$45</definedName>
    <definedName name="Z_TX_02_S">DICCIONARIO!$F$45</definedName>
    <definedName name="Z_TX_03_">DICCIONARIO!$L$46</definedName>
    <definedName name="Z_TX_03_D">DICCIONARIO!$K$46</definedName>
    <definedName name="Z_TX_03_E">DICCIONARIO!$G$46</definedName>
    <definedName name="Z_TX_03_F">DICCIONARIO!$H$46</definedName>
    <definedName name="Z_TX_03_I">DICCIONARIO!$J$46</definedName>
    <definedName name="Z_TX_03_O">DICCIONARIO!$E$46</definedName>
    <definedName name="Z_TX_03_P">DICCIONARIO!$I$46</definedName>
    <definedName name="Z_TX_03_S">DICCIONARIO!$F$46</definedName>
    <definedName name="Z_TX_04_">DICCIONARIO!$L$47</definedName>
    <definedName name="Z_TX_04_D">DICCIONARIO!$K$47</definedName>
    <definedName name="Z_TX_04_E">DICCIONARIO!$G$47</definedName>
    <definedName name="Z_TX_04_F">DICCIONARIO!$H$47</definedName>
    <definedName name="Z_TX_04_I">DICCIONARIO!$J$47</definedName>
    <definedName name="Z_TX_04_O">DICCIONARIO!$E$47</definedName>
    <definedName name="Z_TX_04_P">DICCIONARIO!$I$47</definedName>
    <definedName name="Z_TX_04_S">DICCIONARIO!$F$47</definedName>
    <definedName name="Z_TX_05_">DICCIONARIO!$L$48</definedName>
    <definedName name="Z_TX_05_D">DICCIONARIO!$K$48</definedName>
    <definedName name="Z_TX_05_E">DICCIONARIO!$G$48</definedName>
    <definedName name="Z_TX_05_F">DICCIONARIO!$H$48</definedName>
    <definedName name="Z_TX_05_I">DICCIONARIO!$J$48</definedName>
    <definedName name="Z_TX_05_O">DICCIONARIO!$E$48</definedName>
    <definedName name="Z_TX_05_P">DICCIONARIO!$I$48</definedName>
    <definedName name="Z_TX_05_S">DICCIONARIO!$F$48</definedName>
    <definedName name="Z_TX_06_">DICCIONARIO!$L$49</definedName>
    <definedName name="Z_TX_06_D">DICCIONARIO!$K$49</definedName>
    <definedName name="Z_TX_06_E">DICCIONARIO!$G$49</definedName>
    <definedName name="Z_TX_06_F">DICCIONARIO!$H$49</definedName>
    <definedName name="Z_TX_06_I">DICCIONARIO!$J$49</definedName>
    <definedName name="Z_TX_06_O">DICCIONARIO!$E$49</definedName>
    <definedName name="Z_TX_06_P">DICCIONARIO!$I$49</definedName>
    <definedName name="Z_TX_06_S">DICCIONARIO!$F$49</definedName>
    <definedName name="Z_TX_07_">DICCIONARIO!$L$50</definedName>
    <definedName name="Z_TX_07_D">DICCIONARIO!$K$50</definedName>
    <definedName name="Z_TX_07_E">DICCIONARIO!$G$50</definedName>
    <definedName name="Z_TX_07_F">DICCIONARIO!$H$50</definedName>
    <definedName name="Z_TX_07_I">DICCIONARIO!$J$50</definedName>
    <definedName name="Z_TX_07_O">DICCIONARIO!$E$50</definedName>
    <definedName name="Z_TX_07_P">DICCIONARIO!$I$50</definedName>
    <definedName name="Z_TX_07_S">DICCIONARIO!$F$50</definedName>
    <definedName name="Z_TX_08_">DICCIONARIO!$L$51</definedName>
    <definedName name="Z_TX_08_D">DICCIONARIO!$K$51</definedName>
    <definedName name="Z_TX_08_E">DICCIONARIO!$G$51</definedName>
    <definedName name="Z_TX_08_F">DICCIONARIO!$H$51</definedName>
    <definedName name="Z_TX_08_I">DICCIONARIO!$J$51</definedName>
    <definedName name="Z_TX_08_O">DICCIONARIO!$E$51</definedName>
    <definedName name="Z_TX_08_P">DICCIONARIO!$I$51</definedName>
    <definedName name="Z_TX_08_S">DICCIONARIO!$F$51</definedName>
    <definedName name="Z_TX_09_">DICCIONARIO!$L$52</definedName>
    <definedName name="Z_TX_09_D">DICCIONARIO!$K$52</definedName>
    <definedName name="Z_TX_09_E">DICCIONARIO!$G$52</definedName>
    <definedName name="Z_TX_09_F">DICCIONARIO!$H$52</definedName>
    <definedName name="Z_TX_09_I">DICCIONARIO!$J$52</definedName>
    <definedName name="Z_TX_09_O">DICCIONARIO!$E$52</definedName>
    <definedName name="Z_TX_09_P">DICCIONARIO!$I$52</definedName>
    <definedName name="Z_TX_09_S">DICCIONARIO!$F$52</definedName>
    <definedName name="Z_TX_10_">DICCIONARIO!$L$53</definedName>
    <definedName name="Z_TX_10_D">DICCIONARIO!$K$53</definedName>
    <definedName name="Z_TX_10_E">DICCIONARIO!$G$53</definedName>
    <definedName name="Z_TX_10_F">DICCIONARIO!$H$53</definedName>
    <definedName name="Z_TX_10_I">DICCIONARIO!$J$53</definedName>
    <definedName name="Z_TX_10_O">DICCIONARIO!$E$53</definedName>
    <definedName name="Z_TX_10_P">DICCIONARIO!$I$53</definedName>
    <definedName name="Z_TX_10_S">DICCIONARIO!$F$53</definedName>
    <definedName name="Z_TX_11_">DICCIONARIO!$L$54</definedName>
    <definedName name="Z_TX_11_D">DICCIONARIO!$K$54</definedName>
    <definedName name="Z_TX_11_E">DICCIONARIO!$G$54</definedName>
    <definedName name="Z_TX_11_F">DICCIONARIO!$H$54</definedName>
    <definedName name="Z_TX_11_I">DICCIONARIO!$J$54</definedName>
    <definedName name="Z_TX_11_O">DICCIONARIO!$E$54</definedName>
    <definedName name="Z_TX_11_P">DICCIONARIO!$I$54</definedName>
    <definedName name="Z_TX_11_S">DICCIONARIO!$F$54</definedName>
    <definedName name="Z_TX_12_">DICCIONARIO!$L$55</definedName>
    <definedName name="Z_TX_12_D">DICCIONARIO!$K$55</definedName>
    <definedName name="Z_TX_12_E">DICCIONARIO!$G$55</definedName>
    <definedName name="Z_TX_12_F">DICCIONARIO!$H$55</definedName>
    <definedName name="Z_TX_12_I">DICCIONARIO!$J$55</definedName>
    <definedName name="Z_TX_12_O">DICCIONARIO!$E$55</definedName>
    <definedName name="Z_TX_12_P">DICCIONARIO!$I$55</definedName>
    <definedName name="Z_TX_12_S">DICCIONARIO!$F$55</definedName>
    <definedName name="Z_TX_13_">DICCIONARIO!$L$56</definedName>
    <definedName name="Z_TX_13_D">DICCIONARIO!$K$56</definedName>
    <definedName name="Z_TX_13_E">DICCIONARIO!$G$56</definedName>
    <definedName name="Z_TX_13_F">DICCIONARIO!$H$56</definedName>
    <definedName name="Z_TX_13_I">DICCIONARIO!$J$56</definedName>
    <definedName name="Z_TX_13_O">DICCIONARIO!$E$56</definedName>
    <definedName name="Z_TX_13_P">DICCIONARIO!$I$56</definedName>
    <definedName name="Z_TX_13_S">DICCIONARIO!$F$56</definedName>
    <definedName name="Z_TX_14_">DICCIONARIO!$L$57</definedName>
    <definedName name="Z_TX_14_D">DICCIONARIO!$K$57</definedName>
    <definedName name="Z_TX_14_E">DICCIONARIO!$G$57</definedName>
    <definedName name="Z_TX_14_F">DICCIONARIO!$H$57</definedName>
    <definedName name="Z_TX_14_I">DICCIONARIO!$J$57</definedName>
    <definedName name="Z_TX_14_O">DICCIONARIO!$E$57</definedName>
    <definedName name="Z_TX_14_P">DICCIONARIO!$I$57</definedName>
    <definedName name="Z_TX_14_S">DICCIONARIO!$F$57</definedName>
    <definedName name="Z_TX_15_">DICCIONARIO!$L$58</definedName>
    <definedName name="Z_TX_15_D">DICCIONARIO!$K$58</definedName>
    <definedName name="Z_TX_15_E">DICCIONARIO!$G$58</definedName>
    <definedName name="Z_TX_15_F">DICCIONARIO!$H$58</definedName>
    <definedName name="Z_TX_15_I">DICCIONARIO!$J$58</definedName>
    <definedName name="Z_TX_15_O">DICCIONARIO!$E$58</definedName>
    <definedName name="Z_TX_15_P">DICCIONARIO!$I$58</definedName>
    <definedName name="Z_TX_15_S">DICCIONARIO!$F$58</definedName>
    <definedName name="Z_TX_16_">DICCIONARIO!$L$59</definedName>
    <definedName name="Z_TX_16_D">DICCIONARIO!$K$59</definedName>
    <definedName name="Z_TX_16_E">DICCIONARIO!$G$59</definedName>
    <definedName name="Z_TX_16_F">DICCIONARIO!$H$59</definedName>
    <definedName name="Z_TX_16_I">DICCIONARIO!$J$59</definedName>
    <definedName name="Z_TX_16_O">DICCIONARIO!$E$59</definedName>
    <definedName name="Z_TX_16_P">DICCIONARIO!$I$59</definedName>
    <definedName name="Z_TX_16_S">DICCIONARIO!$F$59</definedName>
    <definedName name="Z_TX_17_">DICCIONARIO!$L$60</definedName>
    <definedName name="Z_TX_17_D">DICCIONARIO!$K$60</definedName>
    <definedName name="Z_TX_17_E">DICCIONARIO!$G$60</definedName>
    <definedName name="Z_TX_17_F">DICCIONARIO!$H$60</definedName>
    <definedName name="Z_TX_17_I">DICCIONARIO!$J$60</definedName>
    <definedName name="Z_TX_17_O">DICCIONARIO!$E$60</definedName>
    <definedName name="Z_TX_17_P">DICCIONARIO!$I$60</definedName>
    <definedName name="Z_TX_17_S">DICCIONARIO!$F$60</definedName>
    <definedName name="Z_TX_18_">DICCIONARIO!$L$61</definedName>
    <definedName name="Z_TX_18_D">DICCIONARIO!$K$61</definedName>
    <definedName name="Z_TX_18_E">DICCIONARIO!$G$61</definedName>
    <definedName name="Z_TX_18_F">DICCIONARIO!$H$61</definedName>
    <definedName name="Z_TX_18_I">DICCIONARIO!$J$61</definedName>
    <definedName name="Z_TX_18_O">DICCIONARIO!$E$61</definedName>
    <definedName name="Z_TX_18_P">DICCIONARIO!$I$61</definedName>
    <definedName name="Z_TX_18_S">DICCIONARIO!$F$61</definedName>
    <definedName name="Z_TX_19_">DICCIONARIO!$L$62</definedName>
    <definedName name="Z_TX_19_D">DICCIONARIO!$K$62</definedName>
    <definedName name="Z_TX_19_E">DICCIONARIO!$G$62</definedName>
    <definedName name="Z_TX_19_F">DICCIONARIO!$H$62</definedName>
    <definedName name="Z_TX_19_I">DICCIONARIO!$J$62</definedName>
    <definedName name="Z_TX_19_O">DICCIONARIO!$E$62</definedName>
    <definedName name="Z_TX_19_P">DICCIONARIO!$I$62</definedName>
    <definedName name="Z_TX_19_S">DICCIONARIO!$F$62</definedName>
    <definedName name="Z_TX_20_">DICCIONARIO!$L$63</definedName>
    <definedName name="Z_TX_20_D">DICCIONARIO!$K$63</definedName>
    <definedName name="Z_TX_20_E">DICCIONARIO!$G$63</definedName>
    <definedName name="Z_TX_20_F">DICCIONARIO!$H$63</definedName>
    <definedName name="Z_TX_20_I">DICCIONARIO!$J$63</definedName>
    <definedName name="Z_TX_20_O">DICCIONARIO!$E$63</definedName>
    <definedName name="Z_TX_20_P">DICCIONARIO!$I$63</definedName>
    <definedName name="Z_TX_20_S">DICCIONARIO!$F$63</definedName>
    <definedName name="Z_TX_21_">DICCIONARIO!$L$64</definedName>
    <definedName name="Z_TX_21_D">DICCIONARIO!$K$64</definedName>
    <definedName name="Z_TX_21_E">DICCIONARIO!$G$64</definedName>
    <definedName name="Z_TX_21_F">DICCIONARIO!$H$64</definedName>
    <definedName name="Z_TX_21_I">DICCIONARIO!$J$64</definedName>
    <definedName name="Z_TX_21_O">DICCIONARIO!$E$64</definedName>
    <definedName name="Z_TX_21_P">DICCIONARIO!$I$64</definedName>
    <definedName name="Z_TX_21_S">DICCIONARIO!$F$64</definedName>
    <definedName name="Z_TX_22_">DICCIONARIO!$L$65</definedName>
    <definedName name="Z_TX_22_D">DICCIONARIO!$K$65</definedName>
    <definedName name="Z_TX_22_E">DICCIONARIO!$G$65</definedName>
    <definedName name="Z_TX_22_F">DICCIONARIO!$H$65</definedName>
    <definedName name="Z_TX_22_I">DICCIONARIO!$J$65</definedName>
    <definedName name="Z_TX_22_O">DICCIONARIO!$E$65</definedName>
    <definedName name="Z_TX_22_P">DICCIONARIO!$I$65</definedName>
    <definedName name="Z_TX_22_S">DICCIONARIO!$F$65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5" i="20"/>
  <c r="A4" i="20"/>
  <c r="A3" i="20"/>
  <c r="A4" i="19"/>
  <c r="A3" i="19"/>
  <c r="C1" i="2" l="1"/>
  <c r="L35" i="15"/>
  <c r="L34" i="15"/>
  <c r="B34" i="15"/>
  <c r="A34" i="15" s="1"/>
  <c r="A12" i="18" l="1"/>
  <c r="A11" i="18"/>
  <c r="A10" i="18"/>
  <c r="A9" i="18"/>
  <c r="A8" i="18"/>
  <c r="A7" i="18"/>
  <c r="A6" i="18"/>
  <c r="A5" i="18"/>
  <c r="A4" i="18"/>
  <c r="A3" i="18"/>
  <c r="C2" i="2" l="1"/>
  <c r="L32" i="15" l="1"/>
  <c r="L31" i="15"/>
  <c r="L5" i="15" l="1"/>
  <c r="G4" i="2"/>
  <c r="F4" i="2"/>
  <c r="A4" i="10" l="1"/>
  <c r="A3" i="10"/>
  <c r="K42" i="15" l="1"/>
  <c r="J42" i="15"/>
  <c r="I42" i="15"/>
  <c r="H42" i="15"/>
  <c r="G42" i="15"/>
  <c r="L67" i="15"/>
  <c r="L66" i="15"/>
  <c r="L65" i="15"/>
  <c r="L64" i="15"/>
  <c r="L63" i="15"/>
  <c r="L62" i="15"/>
  <c r="L61" i="15"/>
  <c r="L60" i="15"/>
  <c r="L59" i="15"/>
  <c r="L58" i="15"/>
  <c r="L57" i="15"/>
  <c r="L56" i="15"/>
  <c r="L55" i="15"/>
  <c r="L54" i="15"/>
  <c r="L53" i="15"/>
  <c r="L52" i="15"/>
  <c r="L51" i="15"/>
  <c r="L50" i="15"/>
  <c r="L49" i="15"/>
  <c r="L48" i="15"/>
  <c r="L47" i="15"/>
  <c r="L46" i="15"/>
  <c r="L45" i="15"/>
  <c r="A67" i="15"/>
  <c r="A66" i="15"/>
  <c r="A65" i="15"/>
  <c r="A64" i="15"/>
  <c r="A63" i="15"/>
  <c r="A62" i="15"/>
  <c r="A61" i="15" l="1"/>
  <c r="A60" i="15"/>
  <c r="A59" i="15"/>
  <c r="A58" i="15"/>
  <c r="A57" i="15"/>
  <c r="A56" i="15"/>
  <c r="A55" i="15"/>
  <c r="A54" i="15"/>
  <c r="A53" i="15"/>
  <c r="A52" i="15"/>
  <c r="A50" i="15"/>
  <c r="A51" i="15"/>
  <c r="B45" i="15"/>
  <c r="A45" i="15" s="1"/>
  <c r="A41" i="15"/>
  <c r="L40" i="15"/>
  <c r="L39" i="15"/>
  <c r="L41" i="15"/>
  <c r="B42" i="15"/>
  <c r="A42" i="15" s="1"/>
  <c r="L42" i="15"/>
  <c r="L38" i="15"/>
  <c r="L37" i="15"/>
  <c r="A37" i="15"/>
  <c r="L36" i="15"/>
  <c r="A36" i="15"/>
  <c r="A49" i="15"/>
  <c r="C3" i="2"/>
  <c r="A48" i="15"/>
  <c r="J1" i="2"/>
  <c r="B38" i="15" l="1"/>
  <c r="K1" i="15"/>
  <c r="J1" i="15"/>
  <c r="I1" i="15"/>
  <c r="H1" i="15"/>
  <c r="G1" i="15"/>
  <c r="F1" i="15"/>
  <c r="A17" i="16" s="1"/>
  <c r="A38" i="15" l="1"/>
  <c r="B39" i="15"/>
  <c r="B40" i="15" l="1"/>
  <c r="A40" i="15" s="1"/>
  <c r="A39" i="15"/>
  <c r="L33" i="15"/>
  <c r="L30" i="15"/>
  <c r="L29" i="15"/>
  <c r="L28" i="15"/>
  <c r="L27" i="15"/>
  <c r="L26" i="15"/>
  <c r="L25" i="15"/>
  <c r="L24" i="15"/>
  <c r="L23" i="15"/>
  <c r="L22" i="15"/>
  <c r="L21" i="15"/>
  <c r="L20" i="15"/>
  <c r="L19" i="15"/>
  <c r="L18" i="15"/>
  <c r="L17" i="15"/>
  <c r="L16" i="15"/>
  <c r="L15" i="15"/>
  <c r="B15" i="15"/>
  <c r="B16" i="15" s="1"/>
  <c r="B17" i="15" s="1"/>
  <c r="B18" i="15" s="1"/>
  <c r="B19" i="15" s="1"/>
  <c r="B20" i="15" s="1"/>
  <c r="B21" i="15" s="1"/>
  <c r="B22" i="15" s="1"/>
  <c r="B23" i="15" s="1"/>
  <c r="B24" i="15" s="1"/>
  <c r="B25" i="15" s="1"/>
  <c r="B26" i="15" s="1"/>
  <c r="B27" i="15" s="1"/>
  <c r="B28" i="15" s="1"/>
  <c r="B29" i="15" s="1"/>
  <c r="B30" i="15" s="1"/>
  <c r="B33" i="15" s="1"/>
  <c r="B32" i="15" s="1"/>
  <c r="L14" i="15"/>
  <c r="A14" i="15"/>
  <c r="B13" i="15"/>
  <c r="B12" i="15"/>
  <c r="B11" i="15"/>
  <c r="B10" i="15"/>
  <c r="B9" i="15"/>
  <c r="B8" i="15"/>
  <c r="B7" i="15"/>
  <c r="B6" i="15"/>
  <c r="B5" i="15"/>
  <c r="B4" i="15"/>
  <c r="B46" i="15"/>
  <c r="B47" i="15" s="1"/>
  <c r="A47" i="15" s="1"/>
  <c r="B44" i="15"/>
  <c r="B43" i="15"/>
  <c r="L44" i="15"/>
  <c r="L43" i="15"/>
  <c r="A32" i="15" l="1"/>
  <c r="B35" i="15"/>
  <c r="A35" i="15" s="1"/>
  <c r="B31" i="15"/>
  <c r="A31" i="15" s="1"/>
  <c r="A17" i="15"/>
  <c r="A21" i="15"/>
  <c r="A20" i="15"/>
  <c r="A26" i="15"/>
  <c r="A18" i="15"/>
  <c r="A15" i="15"/>
  <c r="A16" i="15"/>
  <c r="A30" i="15"/>
  <c r="A24" i="15"/>
  <c r="A29" i="15"/>
  <c r="A22" i="15"/>
  <c r="A25" i="15"/>
  <c r="A28" i="15"/>
  <c r="A19" i="15"/>
  <c r="A23" i="15"/>
  <c r="A27" i="15"/>
  <c r="A33" i="15"/>
  <c r="A44" i="15"/>
  <c r="A43" i="15"/>
  <c r="A46" i="15" l="1"/>
  <c r="L13" i="15" l="1"/>
  <c r="L12" i="15"/>
  <c r="L11" i="15"/>
  <c r="L10" i="15"/>
  <c r="L9" i="15"/>
  <c r="L8" i="15"/>
  <c r="L7" i="15"/>
  <c r="L6" i="15"/>
  <c r="L4" i="15"/>
  <c r="A4" i="15"/>
  <c r="L3" i="15"/>
  <c r="A3" i="15"/>
  <c r="S30" i="16"/>
  <c r="E1" i="15"/>
  <c r="A5" i="15" l="1"/>
  <c r="A6" i="15" l="1"/>
  <c r="A7" i="15" l="1"/>
  <c r="A8" i="15" l="1"/>
  <c r="A9" i="15" l="1"/>
  <c r="A10" i="15" l="1"/>
  <c r="A11" i="15" l="1"/>
  <c r="A13" i="15" l="1"/>
  <c r="A12" i="15"/>
  <c r="A45" i="16" l="1"/>
  <c r="A37" i="16" l="1"/>
  <c r="D2" i="15"/>
  <c r="J10" i="2"/>
  <c r="E34" i="15" l="1"/>
  <c r="E35" i="15"/>
  <c r="E10" i="15"/>
  <c r="E4" i="15"/>
  <c r="E32" i="15"/>
  <c r="E31" i="15"/>
  <c r="E67" i="15"/>
  <c r="E65" i="15"/>
  <c r="E63" i="15"/>
  <c r="E66" i="15"/>
  <c r="E64" i="15"/>
  <c r="E62" i="15"/>
  <c r="E61" i="15"/>
  <c r="E60" i="15"/>
  <c r="E59" i="15"/>
  <c r="E58" i="15"/>
  <c r="E57" i="15"/>
  <c r="E56" i="15"/>
  <c r="E55" i="15"/>
  <c r="E54" i="15"/>
  <c r="E53" i="15"/>
  <c r="E50" i="15"/>
  <c r="E52" i="15"/>
  <c r="E51" i="15"/>
  <c r="E49" i="15"/>
  <c r="E48" i="15"/>
  <c r="E40" i="15"/>
  <c r="E39" i="15"/>
  <c r="E41" i="15"/>
  <c r="E42" i="15"/>
  <c r="E38" i="15"/>
  <c r="E37" i="15"/>
  <c r="E36" i="15"/>
  <c r="E7" i="15"/>
  <c r="E8" i="15"/>
  <c r="E11" i="15"/>
  <c r="E12" i="15"/>
  <c r="E13" i="15"/>
  <c r="E6" i="15"/>
  <c r="E30" i="15"/>
  <c r="E5" i="15"/>
  <c r="E24" i="15"/>
  <c r="E3" i="15"/>
  <c r="E9" i="15"/>
  <c r="E16" i="15"/>
  <c r="E43" i="15"/>
  <c r="E27" i="15"/>
  <c r="E20" i="15"/>
  <c r="E29" i="15"/>
  <c r="E33" i="15"/>
  <c r="E44" i="15"/>
  <c r="E22" i="15"/>
  <c r="E26" i="15"/>
  <c r="E15" i="15"/>
  <c r="E19" i="15"/>
  <c r="E46" i="15"/>
  <c r="E28" i="15"/>
  <c r="E21" i="15"/>
  <c r="E47" i="15"/>
  <c r="E23" i="15"/>
  <c r="E45" i="15"/>
  <c r="E14" i="15"/>
  <c r="E25" i="15"/>
  <c r="E18" i="15"/>
  <c r="E17" i="15"/>
  <c r="D25" i="2"/>
  <c r="B1" i="20"/>
  <c r="H5" i="16"/>
  <c r="F2" i="20"/>
  <c r="G1" i="19"/>
  <c r="K9" i="16"/>
  <c r="J7" i="2"/>
  <c r="D1" i="18"/>
  <c r="D13" i="16"/>
  <c r="T2" i="16"/>
  <c r="D26" i="16"/>
  <c r="D2" i="2"/>
  <c r="J2" i="2"/>
  <c r="H1" i="2"/>
  <c r="D5" i="2"/>
  <c r="F2" i="19"/>
  <c r="C5" i="16"/>
  <c r="B1" i="10"/>
  <c r="E2" i="2"/>
  <c r="D1" i="10"/>
  <c r="F2" i="10"/>
  <c r="T4" i="16"/>
  <c r="B2" i="2"/>
  <c r="C11" i="16"/>
  <c r="J19" i="2"/>
  <c r="D1" i="20"/>
  <c r="B1" i="19"/>
  <c r="J22" i="2"/>
  <c r="B1" i="18"/>
  <c r="F2" i="18"/>
  <c r="J8" i="2"/>
  <c r="D1" i="2"/>
  <c r="B1" i="2"/>
  <c r="H2" i="2"/>
  <c r="T8" i="16"/>
  <c r="I2" i="2"/>
  <c r="G1" i="20"/>
  <c r="E1" i="2"/>
  <c r="J18" i="2"/>
  <c r="G1" i="10"/>
  <c r="D1" i="15"/>
  <c r="J20" i="2"/>
  <c r="J4" i="2"/>
  <c r="D1" i="19"/>
  <c r="G1" i="18"/>
  <c r="F1" i="20" l="1"/>
  <c r="F1" i="19"/>
  <c r="F1" i="18"/>
  <c r="K17" i="2"/>
  <c r="F1" i="10"/>
  <c r="E1" i="10" s="1"/>
  <c r="E1" i="18"/>
  <c r="J6" i="2"/>
  <c r="C4" i="2"/>
  <c r="E1" i="20"/>
  <c r="E1" i="19"/>
  <c r="K7" i="2" l="1"/>
  <c r="K8" i="2"/>
  <c r="K15" i="2"/>
  <c r="K14" i="2" s="1"/>
  <c r="K6" i="2"/>
  <c r="J13" i="2" l="1"/>
  <c r="K5" i="2"/>
</calcChain>
</file>

<file path=xl/sharedStrings.xml><?xml version="1.0" encoding="utf-8"?>
<sst xmlns="http://schemas.openxmlformats.org/spreadsheetml/2006/main" count="659" uniqueCount="465">
  <si>
    <t>http://drive.google.com/uc?export=view&amp;id=</t>
  </si>
  <si>
    <t>IMAGEN</t>
  </si>
  <si>
    <t>ANCHO</t>
  </si>
  <si>
    <t>ALTO</t>
  </si>
  <si>
    <t xml:space="preserve"> </t>
  </si>
  <si>
    <t>IR A CONSULTAR IMAGEN</t>
  </si>
  <si>
    <t>https://dl.dropboxusercontent.com/s/</t>
  </si>
  <si>
    <t>DROPBOX</t>
  </si>
  <si>
    <t>GOOGLE DRIVE</t>
  </si>
  <si>
    <t>IMÁGENES</t>
  </si>
  <si>
    <t>https://picasion.com/es/</t>
  </si>
  <si>
    <t>https://www.codecogs.com/latex/eqneditor.php</t>
  </si>
  <si>
    <t>Z_</t>
  </si>
  <si>
    <t>POR DEFECTO</t>
  </si>
  <si>
    <t>O</t>
  </si>
  <si>
    <t>S</t>
  </si>
  <si>
    <t>E</t>
  </si>
  <si>
    <t>F</t>
  </si>
  <si>
    <t>P</t>
  </si>
  <si>
    <t>I</t>
  </si>
  <si>
    <t>D</t>
  </si>
  <si>
    <t>IN</t>
  </si>
  <si>
    <t>00</t>
  </si>
  <si>
    <t>INICIO</t>
  </si>
  <si>
    <t>HOME</t>
  </si>
  <si>
    <t>MAISON</t>
  </si>
  <si>
    <t>CASA</t>
  </si>
  <si>
    <t>ANFANG</t>
  </si>
  <si>
    <t>01</t>
  </si>
  <si>
    <t>02</t>
  </si>
  <si>
    <t xml:space="preserve"> IDIOMA
 LANGUAGE
 LANGUE
 IDIOMA
 LINGUA
 SPRACHE</t>
  </si>
  <si>
    <t>©</t>
  </si>
  <si>
    <t>MILAGROS HUERTA GÓMEZ DE MERODIO</t>
  </si>
  <si>
    <t>ESPAÑOL</t>
  </si>
  <si>
    <t>fasttestplugin@gmail.com</t>
  </si>
  <si>
    <t>NOMBRE</t>
  </si>
  <si>
    <t>SIGLA</t>
  </si>
  <si>
    <t>ENGLISH</t>
  </si>
  <si>
    <t>FRANÇAIS</t>
  </si>
  <si>
    <t>PORTUGUÊS</t>
  </si>
  <si>
    <t>ITALIEN</t>
  </si>
  <si>
    <t>DEUTSCH</t>
  </si>
  <si>
    <t>03</t>
  </si>
  <si>
    <t>04</t>
  </si>
  <si>
    <t>LEER CON ATENCIÓN</t>
  </si>
  <si>
    <t>READ CAREFULLY</t>
  </si>
  <si>
    <t>LIRE ATTENTIVEMENT</t>
  </si>
  <si>
    <t>LEIA CUIDADOSAMENTE</t>
  </si>
  <si>
    <t>LEGGI ATTENTAMENTE</t>
  </si>
  <si>
    <t>GRÜNDLICH DURCHLESEN</t>
  </si>
  <si>
    <t>05</t>
  </si>
  <si>
    <t>Esta Aplicación ha sido desarrollada, en la primera versión, por:</t>
  </si>
  <si>
    <t>This Application has been developed, in its first version, by:</t>
  </si>
  <si>
    <t>Cette application a été développée, dans sa première version, par:</t>
  </si>
  <si>
    <t>Este Aplicativo foi desenvolvido, na primeira versão, por:</t>
  </si>
  <si>
    <t>Questa Applicazione è stata sviluppata, nella prima versione, da:</t>
  </si>
  <si>
    <t>Diese Anwendung wurde in der ersten Version entwickelt von:</t>
  </si>
  <si>
    <t>06</t>
  </si>
  <si>
    <t>Universidad de Cádiz</t>
  </si>
  <si>
    <t>Cadiz University</t>
  </si>
  <si>
    <t>Université de Cadix</t>
  </si>
  <si>
    <t>Universidade de Cádiz</t>
  </si>
  <si>
    <t>Università di Cadice</t>
  </si>
  <si>
    <t>Cadiz Universität</t>
  </si>
  <si>
    <t>07</t>
  </si>
  <si>
    <t>08</t>
  </si>
  <si>
    <t>09</t>
  </si>
  <si>
    <t>ÍNDICE</t>
  </si>
  <si>
    <t>INDEX</t>
  </si>
  <si>
    <t>INDICE</t>
  </si>
  <si>
    <t>PERSONALIZAR DICCIONARIO</t>
  </si>
  <si>
    <t>CUSTOM DICTIONARY</t>
  </si>
  <si>
    <t>DICTIONAIRE PERSONNALISÉ</t>
  </si>
  <si>
    <t>DICIONÁRIO PERSONALIZADO</t>
  </si>
  <si>
    <t>DIZIONARIO PERSONALIZZATO</t>
  </si>
  <si>
    <t>PERSOENLICHES WOERTERBUCH</t>
  </si>
  <si>
    <t>TX</t>
  </si>
  <si>
    <t>MENSAJES MACROS</t>
  </si>
  <si>
    <t>MACROS MESSAGES</t>
  </si>
  <si>
    <t>MAKROS-NACHRICHTEN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</si>
  <si>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</si>
  <si>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</si>
  <si>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</si>
  <si>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</si>
  <si>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</si>
  <si>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</si>
  <si>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</si>
  <si>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PARA ASEGURAR EL BUEN FUNCIONAMIENTO DE ESTA APLICACIÓN
NO USAR BAJO NINGÚN CONCEPTO EL COMANDO
_______________________________________________________  
                                 CORTAR [Ctrl+X]                             
_______________________________________________________
YA QUE PUEDE HACER QUE SE ESTROPEE ALGUNA FUNCIÓN</t>
  </si>
  <si>
    <t>TO ENSURE THE PROPER FUNCTIONNING OF THIS APPLICATION
DO NOT USE UNDER ANY CIRCUMSTANCE THE COMMAND
_______________________________________________________
                                  CUT [Ctrl + X]
_______________________________________________________
SINCE THIS MAY DAMAGE SOME FUNCTIONS</t>
  </si>
  <si>
    <t>POUR ASSURER LE BON FONCTIONNEMENT DE CETTE APPLICATION
N' UTILISEZ EN AUCUN CAS  LA COMMANDE
_______________________________________________________
                                  COUPER [Ctrl + X]
_______________________________________________________
PUISQUE CELA POURRAIT ENDOMMAGER CERTAINES FONCTIONS</t>
  </si>
  <si>
    <t>PARA GARANTIR O FUNCIONAMENTO ADEQUADO DESTE APLICATIVO
NÃO USE SOB NENHUM CONCEITO O COMANDO
_______________________________________________________
                                  CUT [Ctrl + X]
_______________________________________________________
DESDE QUE PODE CAUSAR ALGUMAS FUNÇÕES CAIR</t>
  </si>
  <si>
    <t>PER GARANTIRE IL CORRETTO FUNZIONAMENTO DI QUESTA APPLICAZIONE
NON USARE SOTTO ALCUN CONCETTO IL COMANDO
_______________________________________________________
                                  TAGLIA [Ctrl + X]
_______________________________________________________
POICHÉ PU CAUSARE LA CADUTA DI ALCUNE FUNZIONI</t>
  </si>
  <si>
    <t>UM DEN GUTEN BETRIEB DIESER ANWENDUNG ZU GEWÄHRLEISTEN
NICHT UNTER EINEM KONZEPT DES BEFEHLS VERWENDEN
_______________________________________________________
                                 CUT [Strg + X]
_______________________________________________________
DA ES EINIGE FUNKTIONEN ZERBROCHEN MACHEN KANN</t>
  </si>
  <si>
    <t>Copia el texto (Ctrl+C), 
pulsa F2 y pega (Ctrl+V) 
para insertarlo en la celda:</t>
  </si>
  <si>
    <t>10</t>
  </si>
  <si>
    <t>11</t>
  </si>
  <si>
    <t>12</t>
  </si>
  <si>
    <t>13</t>
  </si>
  <si>
    <t>14</t>
  </si>
  <si>
    <t>15</t>
  </si>
  <si>
    <t>16</t>
  </si>
  <si>
    <t>17</t>
  </si>
  <si>
    <t>18</t>
  </si>
  <si>
    <t>Ir a INICIO</t>
  </si>
  <si>
    <t>19</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</si>
  <si>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</si>
  <si>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</si>
  <si>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</si>
  <si>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</si>
  <si>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</si>
  <si>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</si>
  <si>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La idea principal es facilitar el uso en cualquier aplicación que las necesite. Además, también es para animar a los docentes a usarlas en sus clases y así hacerlas más dinámicas y atractivas.</t>
  </si>
  <si>
    <t>V - 2.0  - 01/09/2021</t>
  </si>
  <si>
    <t>CONSULTAR IMAGEN</t>
  </si>
  <si>
    <t>CI</t>
  </si>
  <si>
    <t>CÓDIGO PARA INCRUSTAR IMAGEN</t>
  </si>
  <si>
    <t xml:space="preserve">INCRUSTAR IMAGEN EN HTML: </t>
  </si>
  <si>
    <t xml:space="preserve">COPIAR </t>
  </si>
  <si>
    <t>TEMA IMAGEN A MOSTRAR</t>
  </si>
  <si>
    <t>NUEVO TEMA</t>
  </si>
  <si>
    <t xml:space="preserve">IR A TEMA: </t>
  </si>
  <si>
    <t xml:space="preserve">BORRAR TEMA: </t>
  </si>
  <si>
    <t>TEMA</t>
  </si>
  <si>
    <t>NOMBRE IMAGEN</t>
  </si>
  <si>
    <t xml:space="preserve"> &lt;img src="URL_imagen" width="Ancho_pixels" height="Alto_pixels"&gt;</t>
  </si>
  <si>
    <t>Escribe el nombre del Nuevo Tema que quieres incluir.
Recuerda que no debe tener espacios en blanco.</t>
  </si>
  <si>
    <t xml:space="preserve">EL NOMBRE DEL NUEVO TEMA ES: </t>
  </si>
  <si>
    <t>YA EXISTE, ESCRIBE OTRO NOMBRE DIFERENTE.</t>
  </si>
  <si>
    <t>HOJA TIPO</t>
  </si>
  <si>
    <t>HT</t>
  </si>
  <si>
    <t>INSERTAR NUEVA IMAGEN</t>
  </si>
  <si>
    <t>00_1</t>
  </si>
  <si>
    <t>00_2</t>
  </si>
  <si>
    <t xml:space="preserve">¿ESTÁS SEGURO QUE QUIERES BORRAR EL TEMA </t>
  </si>
  <si>
    <t xml:space="preserve">NO SE BORRARÁ EL TEMA </t>
  </si>
  <si>
    <t>COPIA EL SIGUIENTE CÓDIGO Y PÉGALO DONDE QUIERAS VER LA IMAGEN</t>
  </si>
  <si>
    <t>Escribe el nombre de la nueva imagen que vas a insertar.
Recuerda que no puede tener espacios en blanco.</t>
  </si>
  <si>
    <t xml:space="preserve">EL NOMBRE DE LA NUEVA IMAGEN ES: </t>
  </si>
  <si>
    <t>Para cambiar la imagen, debes pinchar sobre la IMAGEN, pulsar el BOTÓN DERECHO del ratón y CAMBIAR IMAGEN.</t>
  </si>
  <si>
    <t xml:space="preserve">NO SE BORRARÁ LA IMAGEN </t>
  </si>
  <si>
    <t>NO HAY TEMA SELECIONADO</t>
  </si>
  <si>
    <t>DESCRIPCIÓN</t>
  </si>
  <si>
    <t>COMENTARIO</t>
  </si>
  <si>
    <t>¡NO USAR CORTAR!  
  [Ctrl + X]</t>
  </si>
  <si>
    <t>EL_TERCERO</t>
  </si>
  <si>
    <t>NOMBRE_TEMA</t>
  </si>
  <si>
    <t>URL_LATEX</t>
  </si>
  <si>
    <t>DESCRIPCION</t>
  </si>
  <si>
    <t>Indica el numero de la IMAGEN/FORMULA que quieres borrar.</t>
  </si>
  <si>
    <t xml:space="preserve">¿Estás seguro de que quieres borrar la imagen Nº </t>
  </si>
  <si>
    <t>BORRAR IMAGEN</t>
  </si>
  <si>
    <t xml:space="preserve">1. Diese Anwendung wurde entwickelt, um häufig verwendete BILDER und FORMELN zu speichern, damit sie organisiert und einfacher verwendet werden können.
2. Der Endbenutzer ist der Lehrer, der BILDER oder FORMELN mit einer bestimmten Häufigkeit verwendet. Dazu müssen Sie sie in der Cloud haben.
</t>
  </si>
  <si>
    <t>Die Hauptidee besteht darin, ihre Verwendung in jeder Anwendung zu erleichtern, die sie benötigt. Darüber hinaus sollen auch Lehrkräfte dazu angehalten werden, sie im Unterricht einzusetzen und sie dadurch dynamischer und attraktiver zu gestalten.</t>
  </si>
  <si>
    <t xml:space="preserve">1. Cette application a été développée pour aider à stocker les IMAGES et les FORMULES fréquemment utilisées, afin qu'elles soient organisées et puissent être utilisées plus facilement.
2. L'utilisateur final est l'enseignant qui utilise des IMAGES ou des FORMULES avec une certaine fréquence. Pour ce faire, vous devez les avoir dans le cloud.
</t>
  </si>
  <si>
    <t>L'idée principale est de faciliter leur utilisation dans toute application qui en a besoin. De plus, il s'agit aussi d'inciter les enseignants à les utiliser dans leurs cours et ainsi les rendre plus dynamiques et attractifs.</t>
  </si>
  <si>
    <t xml:space="preserve">1. This application has been developed to help store both IMAGES and FORMULAS that are used frequently, so that they are organized and can be used more easily.
2. The end user is the teacher who uses IMAGES or FORMULAS with certain frequency. To do this, you must have them in the cloud.
</t>
  </si>
  <si>
    <t>The main idea is to facilitate their use in any application that needs them. In addition, it is also to encourage teachers to use them in their classes and thus make them more dynamic and attractive.</t>
  </si>
  <si>
    <t>1. Questa applicazione è stata sviluppata per aiutare a memorizzare sia IMMAGINI che FORMULE di uso frequente, in modo che siano organizzate e possano essere utilizzate più facilmente.
2. L'utente finale è l'insegnante che utilizza IMMAGINI o FORMULE con una certa frequenza. Per fare ciò, devi averli nel cloud.</t>
  </si>
  <si>
    <t>L'idea principale è quella di facilitare il loro utilizzo in qualsiasi applicazione che ne abbia bisogno. Inoltre, serve anche per incoraggiare gli insegnanti a usarli nelle loro classi e renderli così più dinamici e attraenti.</t>
  </si>
  <si>
    <t>1. Esta aplicação foi desenvolvida para ajudar a armazenar IMAGENS e FÓRMULAS de uso frequente, para que se organizem e possam ser utilizadas com maior facilidade.
2. O usuário final é o professor que usa IMAGENS ou FÓRMULAS com certa frequência. Para fazer isso, você deve tê-los na nuvem.</t>
  </si>
  <si>
    <t>A ideia principal é facilitar a sua utilização em qualquer aplicação que necessite. Além disso, é também incentivar os professores a utilizá-los em suas aulas e, assim, torná-los mais dinâmicos e atraentes.</t>
  </si>
  <si>
    <t>1. Esta aplicación se ha desarrollado para ayudar a almacenar tanto IMÁGENES como FÓRMULAS que se utilicen con frecuencia, de manera que se tengan ordenadas y  poder hacer uso de ellas con más facilidad.
2. El usuario final es aquel docente que use con cierta frecuencia IMÁGENES o FÓRMULAS. Para ello, deberá tenerlas en la nube.</t>
  </si>
  <si>
    <t>VER IMAGEM</t>
  </si>
  <si>
    <t>Vá para CASA</t>
  </si>
  <si>
    <t>NOME DA IMAGEM</t>
  </si>
  <si>
    <t>LARGURA</t>
  </si>
  <si>
    <t>CÓPIA DE</t>
  </si>
  <si>
    <t>CÓDIGO PARA IMAGEM EMBUTIDA</t>
  </si>
  <si>
    <t xml:space="preserve">  &lt;img src = "URL_imagen" width = "Width_pixels" height = "Height_pixels"&gt;</t>
  </si>
  <si>
    <t>VEDI IMMAGINE</t>
  </si>
  <si>
    <t>Vai a HOME</t>
  </si>
  <si>
    <t>NOME IMMAGINE</t>
  </si>
  <si>
    <t>LARGHEZZA</t>
  </si>
  <si>
    <t>COPIA</t>
  </si>
  <si>
    <t>CODICE PER INCORPORARE L'IMMAGINE</t>
  </si>
  <si>
    <t>SEE IMAGE</t>
  </si>
  <si>
    <t>Go to HOME</t>
  </si>
  <si>
    <t>NEW TOPIC</t>
  </si>
  <si>
    <t>GO TO TOPIC:</t>
  </si>
  <si>
    <t>DELETE TOPIC:</t>
  </si>
  <si>
    <t>IMAGE NAME</t>
  </si>
  <si>
    <t>WIDTH</t>
  </si>
  <si>
    <t>HIGH</t>
  </si>
  <si>
    <t>COPY</t>
  </si>
  <si>
    <t>CODE TO EMBED IMAGE</t>
  </si>
  <si>
    <t>VOIR L'IMAGE</t>
  </si>
  <si>
    <t>THÈME</t>
  </si>
  <si>
    <t>NOM DE L'IMAGE</t>
  </si>
  <si>
    <t>LARGEUR</t>
  </si>
  <si>
    <t>HAUTE</t>
  </si>
  <si>
    <t>COPIER</t>
  </si>
  <si>
    <t>CODE POUR INTÉGRER L'IMAGE</t>
  </si>
  <si>
    <t>SIEHE BILD</t>
  </si>
  <si>
    <t>NEUES THEMA</t>
  </si>
  <si>
    <t>ZUM THEMA GEHEN:</t>
  </si>
  <si>
    <t>THEMA LÖSCHEN:</t>
  </si>
  <si>
    <t>THEMA</t>
  </si>
  <si>
    <t>THEMENBILD ZUM ANZEIGEN</t>
  </si>
  <si>
    <t>BILDNAME</t>
  </si>
  <si>
    <t>BREITE</t>
  </si>
  <si>
    <t>HOCH</t>
  </si>
  <si>
    <t>KOPIEREN</t>
  </si>
  <si>
    <t>CODE ZUM EINBINDEN DES BILDES</t>
  </si>
  <si>
    <t>TYPENBLATT</t>
  </si>
  <si>
    <t>GEHEN SIE ZUM BILD ANFRAGEN</t>
  </si>
  <si>
    <t>NEUES BILD EINFÜGEN</t>
  </si>
  <si>
    <t>LÖSCHE BILD</t>
  </si>
  <si>
    <t>BILDER</t>
  </si>
  <si>
    <t>FICHE TYPE</t>
  </si>
  <si>
    <t>ALLER CONSULTER L'IMAGE</t>
  </si>
  <si>
    <t>INSÉRER UNE NOUVELLE IMAGE</t>
  </si>
  <si>
    <t>SUPPRIMER L'IMAGE</t>
  </si>
  <si>
    <t>IMAGES</t>
  </si>
  <si>
    <t>TYPE SHEET</t>
  </si>
  <si>
    <t>GO TO CONSULT IMAGE</t>
  </si>
  <si>
    <t>INSERT NEW IMAGE</t>
  </si>
  <si>
    <t>DELETE IMAGE</t>
  </si>
  <si>
    <t>FOLHA DE TIPO</t>
  </si>
  <si>
    <t>ACESSE CONSULTAR IMAGEM</t>
  </si>
  <si>
    <t>INSERIR NOVA IMAGEM</t>
  </si>
  <si>
    <t>APAGAR IMAGEM</t>
  </si>
  <si>
    <t>IMAGENS</t>
  </si>
  <si>
    <t>SCHEDA TIPO</t>
  </si>
  <si>
    <t>VAI A CONSULTARE L'IMMAGINE</t>
  </si>
  <si>
    <t>INSERISCI NUOVA IMMAGINE</t>
  </si>
  <si>
    <t>ELIMINA IMMAGINE</t>
  </si>
  <si>
    <t>IMMAGINI</t>
  </si>
  <si>
    <t>ESISTE GIÀ, PER FAVORE SCRIVERE UN NOME DIVERSO.</t>
  </si>
  <si>
    <t xml:space="preserve">COPIA IL SEGUENTE CODICE E PUBBLICALO DOVE DESIDERI INCORPORARE L'IMMAGINE.
LA DIMENSIONE IN PIXEL INDICATA CON CUI VERRÀ INCORPORATO È: </t>
  </si>
  <si>
    <t>NON C'È NESSUN URL ASSOCIATO A QUESTA IMMAGINE</t>
  </si>
  <si>
    <t>COPIA IL SEGUENTE CODICE E SCEGLILO DOVE VUOI VEDERE L'IMMAGINE</t>
  </si>
  <si>
    <t>Scrivi il nome della nuova immagine che stai per inserire.
Ricorda che non puoi avere spazi vuoti.</t>
  </si>
  <si>
    <t>Per modificare l'immagine è necessario cliccare sull'IMMAGINE, premere il TASTO DESTRO del mouse e CAMBIARE IMMAGINE.</t>
  </si>
  <si>
    <t>IMMAGINE</t>
  </si>
  <si>
    <t>DESCRIZIONE</t>
  </si>
  <si>
    <t>TOPIC_NAME</t>
  </si>
  <si>
    <t>Indicare il numero dell'IMMAGINE/FORMULA che si desidera eliminare.</t>
  </si>
  <si>
    <t>Write the name of the New Topic you want to include.
Remember that it should not have blank spaces.</t>
  </si>
  <si>
    <t>IT ALREADY EXISTS, PLEASE WRITE A DIFFERENT NAME.</t>
  </si>
  <si>
    <t>THERE IS NO URL ASSOCIATED WITH THIS IMAGE</t>
  </si>
  <si>
    <t>COPY THE FOLLOWING CODE AND PICK IT WHERE YOU WANT TO SEE THE IMAGE</t>
  </si>
  <si>
    <t>Write the name of the new image you are going to insert.
Remember that you cannot have blank spaces.</t>
  </si>
  <si>
    <t>To change the image, you must click on the IMAGE, press the RIGHT BUTTON of the mouse and CHANGE IMAGE.</t>
  </si>
  <si>
    <t>IMAGE</t>
  </si>
  <si>
    <t>DESCRIPTION</t>
  </si>
  <si>
    <t>Indicate the number of the IMAGE / FORMULA that you want to delete.</t>
  </si>
  <si>
    <t>JÁ EXISTE, ESCREVA UM NOME DIFERENTE.</t>
  </si>
  <si>
    <t>NENHUM TEMA SELECIONADO</t>
  </si>
  <si>
    <t>NÃO HÁ URL ASSOCIADA A ESTA IMAGEM</t>
  </si>
  <si>
    <t>COPIE O CÓDIGO A SEGUIR E ESCOLHA ONDE QUER VER A IMAGEM</t>
  </si>
  <si>
    <t>Escreva o nome da nova imagem que você vai inserir.
Lembre-se de que você não pode ter espaços em branco.</t>
  </si>
  <si>
    <t>Para alterar a imagem, você deve clicar sobre a IMAGEM, pressionar o BOTÃO DIREITO do mouse e ALTERAR IMAGEM.</t>
  </si>
  <si>
    <t>IMAGEM</t>
  </si>
  <si>
    <t>DESCRIÇÃO</t>
  </si>
  <si>
    <t>Indique o número da IMAGEM / FÓRMULA que deseja deletar.</t>
  </si>
  <si>
    <t>IL EXISTE DÉJÀ, VEUILLEZ ÉCRIRE UN NOM DIFFÉRENT.</t>
  </si>
  <si>
    <t>AUCUN THÈME SÉLECTIONNÉ</t>
  </si>
  <si>
    <t>AUCUNE URL ASSOCIÉE À CETTE IMAGE</t>
  </si>
  <si>
    <t>COPIEZ LE CODE SUIVANT ET CHOISISSEZ-LE O VOUS VOULEZ VOIR L'IMAGE</t>
  </si>
  <si>
    <t>Écrivez le nom de la nouvelle image que vous allez insérer.
N'oubliez pas que vous ne pouvez pas avoir d'espaces vides.</t>
  </si>
  <si>
    <t>Pour changer l'image, vous devez cliquer sur l'IMAGE, appuyer sur le BOUTON DROIT de la souris et CHANGER D'IMAGE.</t>
  </si>
  <si>
    <t>LA DESCRIPTION</t>
  </si>
  <si>
    <t>Indiquez le numéro de l'IMAGE / FORMULE que vous souhaitez supprimer.</t>
  </si>
  <si>
    <t>Geben Sie den Namen des neuen Themas ein, das Sie einschließen möchten.
Denken Sie daran, dass es keine Leerzeichen enthalten sollte.</t>
  </si>
  <si>
    <t>ES IST BEREITS VORHANDEN, BITTE SCHREIBEN SIE EINEN ANDEREN NAMEN.</t>
  </si>
  <si>
    <t>KEIN THEMA AUSGEWÄHLT</t>
  </si>
  <si>
    <t>MIT DIESEM BILD IST KEINE URL VERBUNDEN</t>
  </si>
  <si>
    <t>KOPIEREN SIE DEN FOLGENDEN CODE UND WÄHLEN SIE IHN, WO SIE DAS BILD SEHEN WOLLEN</t>
  </si>
  <si>
    <t>Schreiben Sie den Namen des neuen Bildes, das Sie einfügen möchten.
Denken Sie daran, dass Sie keine Leerzeichen haben dürfen.</t>
  </si>
  <si>
    <t>Um das Bild zu ändern, müssen Sie auf das BILD klicken, die RECHTE TASTE der Maus drücken und BILD ÄNDERN.</t>
  </si>
  <si>
    <t>BILD</t>
  </si>
  <si>
    <t>BEZEICHNUNG</t>
  </si>
  <si>
    <t>Geben Sie die Nummer des BILDES / DER FORMEL an, das Sie löschen möchten.</t>
  </si>
  <si>
    <t>BY DEFAULT</t>
  </si>
  <si>
    <t>PAR DÉFAUT</t>
  </si>
  <si>
    <t>POR PADRÃO</t>
  </si>
  <si>
    <t>IMPOSTAZIONE PREDEFINITA</t>
  </si>
  <si>
    <t>ARBEITEN MÖCHTEN</t>
  </si>
  <si>
    <t>VIDEO TUTORIAL</t>
  </si>
  <si>
    <t>DIDACTICIEL VIDÉO</t>
  </si>
  <si>
    <t>N.</t>
  </si>
  <si>
    <t>NO FUNCIONA CON
VERSIONES DE EXCEL 
ANTERIORES A 2007</t>
  </si>
  <si>
    <t>DOES NOT WORK WITH
EXCEL VERSIONS
EARLIER THAN 2007</t>
  </si>
  <si>
    <t>NE FONCTIONNE PAS AVEC DES
VERSIONS EXCEL
ANTÉRIEUR A 2007</t>
  </si>
  <si>
    <t>NÃO FUNCIONA COM
VERSÕES EXCEL
ANTES DE 2007</t>
  </si>
  <si>
    <t>NON FUNZIONA CON
VERSIONI EXCEL
PRIMA DEL 2007</t>
  </si>
  <si>
    <t>ARBEITET NICHT MIT
EXCEL-VERSIONEN
VOR 2007</t>
  </si>
  <si>
    <t>ForImage Database</t>
  </si>
  <si>
    <t>DON'T USE CUT SHORTCUT!    
[Ctrl + X]</t>
  </si>
  <si>
    <t xml:space="preserve">NE PAS UTILISER LE RACCOURCI COUPER!     
[Ctrl + X] </t>
  </si>
  <si>
    <t xml:space="preserve">NÃO USE CORTE!   
[Ctrl + X] </t>
  </si>
  <si>
    <t xml:space="preserve">NON USARE CUT!   
[Ctrl + X] </t>
  </si>
  <si>
    <t>KEINEN SCHNITT VERWENDEN!   
[Ctrl + X]</t>
  </si>
  <si>
    <t>ESTA APLICACIÓN ES UNA AYUDA A OPTIMIZAR TU TIEMPO
SI ERES USUARIO DE FÓMULAS EN LÁTEX O DE IMÁGENES
NO GARANTIZA QUE COMPLETES BIEN LOS DATOS
DEBES ASEGURARTE DE INTRODUCIR BIEN LOS ENLACES
RECUERDA GUARDAR UNA COPIA DE SEGURIDAD   
_______________________________________________________ 
¡ESPERO QUE TE SEA DE UTILIDAD!      
_______________________________________________________</t>
  </si>
  <si>
    <t>PULSA PARA VER LA IMAGEN</t>
  </si>
  <si>
    <t>URL_COD</t>
  </si>
  <si>
    <t>PERSONAJES</t>
  </si>
  <si>
    <t xml:space="preserve">URL / LATEX </t>
  </si>
  <si>
    <t>NIÑO_1</t>
  </si>
  <si>
    <t>NIÑO_2</t>
  </si>
  <si>
    <t>NIÑO_3</t>
  </si>
  <si>
    <t>NIÑO_HABLANDO_LENTO</t>
  </si>
  <si>
    <t>NIÑO_HABLANDO_RÁPIDO</t>
  </si>
  <si>
    <t>PROFE_1</t>
  </si>
  <si>
    <t>PROFE_2</t>
  </si>
  <si>
    <t>PROFE_3</t>
  </si>
  <si>
    <t>PROFE_HABLANDO_LENTO</t>
  </si>
  <si>
    <t>PROFE_HABLANDO_RÁPDIO</t>
  </si>
  <si>
    <t>Niño con ojos abiertos y boca cerrada.</t>
  </si>
  <si>
    <t>Profe con ojos abiertos y boca cerrada.</t>
  </si>
  <si>
    <t>Niño con ojos abiertos y boca abierta.</t>
  </si>
  <si>
    <t>Niño ojos con cerrados y boca cerrada.</t>
  </si>
  <si>
    <t>Niño hablando lento.</t>
  </si>
  <si>
    <t>Niño hablando rápdio</t>
  </si>
  <si>
    <t>Profe con ojos abiertos y boca abierta.</t>
  </si>
  <si>
    <t>Profe ojos con cerrados y boca cerrada.</t>
  </si>
  <si>
    <t>Profe hablando lento.</t>
  </si>
  <si>
    <t>Profe hablando rápdio</t>
  </si>
  <si>
    <t>https://drive.google.com/file/d/1AGw4YOauGXZdFdnOc-r_DBOh5fCoCADh/view?usp=sharing</t>
  </si>
  <si>
    <t>https://drive.google.com/file/d/1AGd70G_uXQpdd6A4RVp0J5fbZdLfkIfq/view?usp=sharing</t>
  </si>
  <si>
    <t>https://drive.google.com/file/d/1AGKX8W3REZdT544hzb0WE1eVDedvVkip/view?usp=sharing</t>
  </si>
  <si>
    <t>https://drive.google.com/file/d/1COJG0ZyGsouLQGZBHZXFE1rl08_BE4gd/view?usp=sharing</t>
  </si>
  <si>
    <t>https://drive.google.com/file/d/1CQqULETsOTwQKPpNdCNaeRTU5GYkdkhG/view?usp=sharing</t>
  </si>
  <si>
    <t>https://drive.google.com/file/d/1AMFa_vqjzi8pqbAuOP5NuK7zNE_vROZH/view?usp=sharing</t>
  </si>
  <si>
    <t>https://drive.google.com/file/d/1ANrtG2ClXFbjACpeskxN939YwFHlAUH0/view?usp=sharing</t>
  </si>
  <si>
    <t>https://drive.google.com/file/d/1AI_IgyFZBP8qKc4dC3Z_MnrjKrIR0Knp/view?usp=sharing</t>
  </si>
  <si>
    <t>https://drive.google.com/file/d/1CQsDvGYF2cb6ZwYSAKOf0EbvM_Nq9w7Y/view?usp=sharing</t>
  </si>
  <si>
    <t>https://drive.google.com/file/d/1CRsgziMNd3qWTi6oSl2NJ2QlJmL2cmFq/view?usp=sharing</t>
  </si>
  <si>
    <t>Zur STARTSEITE</t>
  </si>
  <si>
    <t>Aller à la MAISON</t>
  </si>
  <si>
    <t>CLICK TO SEE THE IMAGE</t>
  </si>
  <si>
    <t>APPUYEZ POUR VOIR L'IMAGE</t>
  </si>
  <si>
    <t>PRESSIONE PARA VER A IMAGEM</t>
  </si>
  <si>
    <t>PREMERE PER VEDERE L'IMMAGINE</t>
  </si>
  <si>
    <t>DRÜCKEN SIE UM DAS BILD ZU SEHEN</t>
  </si>
  <si>
    <t>DIESE ANWENDUNG IST EINE HILFE, IHRE ZEIT ZU OPTIMIEREN
WENN SIE EIN BENUTZER VON LATEX-FORMELN ODER -BILDERN SIND
GARANTIERT NICHT, DASS SIE DIE DATEN GUT AUSFÜLLEN
SIE MÜSSEN SICHERSTELLEN, DASS SIE DIE LINKS GUT EINGEBEN
Denken Sie daran, eine Sicherungskopie aufzubewahren
________________________________________________________
ICH HOFFE, SIE FINDEN ES NÜTZLICH!
________________________________________________________</t>
  </si>
  <si>
    <t>QUESTA APPLICAZIONE È UN AIUTO PER OTTIMIZZARE IL TUO TEMPO
SE SEI UN UTENTE DI FORMULE O IMMAGINI IN LATEX
NON GARANTISCE DI COMPLETARE BENE I DATI
DEVI ASSICURARSI DI INSERIRE BENE I LINK
RICORDA DI CONSERVARE UNA COPIA DI BACKUP
_______________________________________________________
SPERO CHE TI TROVI UTILE!
_______________________________________________________</t>
  </si>
  <si>
    <t>ESTE APLICATIVO É UMA AJUDA PARA OTIMIZAR SEU TEMPO
SE VOCÊ É USUÁRIO DE FÓRMULAS OU IMAGENS DE LATEX
NÃO GARANTE QUE VOCÊ COMPLETE BEM OS DADOS
VOCÊ DEVE VERIFICAR SE ENTREGA BEM NOS LINKS
LEMBRE-SE DE MANTER UMA CÓPIA DE BACKUP
_______________________________________________________
ESPERO QUE SEJA ÚTIL!
_______________________________________________________</t>
  </si>
  <si>
    <t>THIS APPLICATION IS A HELP TO OPTIMIZE YOUR TIME
WHEN YOU USE LATEZ FORMULAS OR IMAGES
DOES NOT GUARANTEE THAT YOU COMPLETE THE DATA PROPERLY
YOU MUST MAKE SURE YOU ENTER THE LINKS WELL
REMEMBER TO KEEP A BACKUP COPY
_______________________________________________________
I HOPE YOU FIND IT USEFUL!
_______________________________________________________</t>
  </si>
  <si>
    <t>CETTE APPLICATION VOUS AIDERA A OPTIMISER VOTRE TEMPS
LORSQUE VOUS UTILISEZ DE FORMULES DE LATEX OU D'IMAGES
NE GARANTIT PAS QUE VOUS COMPLÉTEZ BIEN LES DONNÉES
VOUS DEVEZ VOUS ASSURER DE BIEN ENTRER LES LIENS
N'OUBLIEZ PAS DE CONSERVER UNE COPIE DE SAUVEGARDE
_______________________________________________________
J'ESPÈRE QUE VOUS TROUVEREZ CELA UTILE!
_______________________________________________________</t>
  </si>
  <si>
    <t>URL IMAGEN / CÓDIGO LÁTEX FÓRMULA</t>
  </si>
  <si>
    <t>IMAGE URL / LATEX CODE FORMULA</t>
  </si>
  <si>
    <t>URL IMAGE / CODE LATEX FORMULE</t>
  </si>
  <si>
    <t>URL IMAGEM / CÓDIGO LATEX FÓRMULA</t>
  </si>
  <si>
    <t>URL IMMAGINE / CODICE LATEX FORMULA</t>
  </si>
  <si>
    <t>BILD-URL / LATEX-CODE FORMEL</t>
  </si>
  <si>
    <t>20</t>
  </si>
  <si>
    <t>21</t>
  </si>
  <si>
    <t>22</t>
  </si>
  <si>
    <t>23</t>
  </si>
  <si>
    <t>24</t>
  </si>
  <si>
    <t xml:space="preserve">SELECCIONA EL NOMBRE DE LA IMAGEN: </t>
  </si>
  <si>
    <t xml:space="preserve">SELECT THE IMAGE NAME: </t>
  </si>
  <si>
    <t xml:space="preserve">SÉLECTIONNEZ LE NOM DE L'IMAGE: </t>
  </si>
  <si>
    <t xml:space="preserve">SELECIONE O NOME DA IMAGEM: </t>
  </si>
  <si>
    <t xml:space="preserve">SELEZIONA IL NOME DELL'IMMAGINE: </t>
  </si>
  <si>
    <t xml:space="preserve">WÄHLEN SIE DEN BILDNAMEN: </t>
  </si>
  <si>
    <t xml:space="preserve">EMBED IMAGE IN HTML: </t>
  </si>
  <si>
    <t xml:space="preserve">INTÉGRER L'IMAGE AU HTML : </t>
  </si>
  <si>
    <t xml:space="preserve">IMAGEM INCORPORADA EM HTML: </t>
  </si>
  <si>
    <t xml:space="preserve">IMMAGINE INCORPORATA IN HTML: </t>
  </si>
  <si>
    <t xml:space="preserve">BILD IN HTML EINBEBEN: </t>
  </si>
  <si>
    <t xml:space="preserve">WEB PARA CREAR GIF: </t>
  </si>
  <si>
    <t xml:space="preserve">WEB TO CREATE GIF: </t>
  </si>
  <si>
    <t xml:space="preserve">WEB POUR CRÉER UN GIF : </t>
  </si>
  <si>
    <t xml:space="preserve">WEB PARA CRIAR GIF: </t>
  </si>
  <si>
    <t xml:space="preserve">WEB PER CREARE GIF: </t>
  </si>
  <si>
    <t xml:space="preserve">WEB, UM GIF ZU ERSTELLEN: </t>
  </si>
  <si>
    <t xml:space="preserve">WEB PARA CREAR FÓRMULAS EN LÁTEX: </t>
  </si>
  <si>
    <t xml:space="preserve">WEB TO CREATE FORMULAS IN LATEX: </t>
  </si>
  <si>
    <t xml:space="preserve">WEB POUR CRÉER DES FORMULES EN LATEX : </t>
  </si>
  <si>
    <t xml:space="preserve">WEB PARA CRIAR FÓRMULAS EM LATEX: </t>
  </si>
  <si>
    <t xml:space="preserve">WEB PER CREARE FORMULE IN LATEX: </t>
  </si>
  <si>
    <t xml:space="preserve">WEB, UM FORMELN IN LATEX ZU ERSTELLEN: </t>
  </si>
  <si>
    <t xml:space="preserve">THE NAME OF THE NEW TOPIC IS: </t>
  </si>
  <si>
    <t xml:space="preserve">ARE YOU SURE YOU WANT TO DELETE THE TOPIC </t>
  </si>
  <si>
    <t xml:space="preserve">SIND SIE SICHER, DASS SIE DAS THEMA LÖSCHEN MÖCHTEN </t>
  </si>
  <si>
    <t xml:space="preserve">LE THÈME NE SERA PAS SUPPRIMÉ </t>
  </si>
  <si>
    <t xml:space="preserve">O TEMA NÃO SERÁ EXCLUÍDO </t>
  </si>
  <si>
    <t xml:space="preserve">DAS THEMA WIRD NICHT GELÖSCHT </t>
  </si>
  <si>
    <t xml:space="preserve">COPIA EL SIGUIENTE CÓDIGO Y PÉGALO DONDE QUIERAS INCRUSTAR LA IMAGEN.
EL TAMAÑO EN PIXELES INDICADO CON EL QUE SE INCRUSTARÁ ES: </t>
  </si>
  <si>
    <t xml:space="preserve">COPY THE FOLLOWING CODE AND PICK IT WHERE YOU WANT TO EMBED THE IMAGE.
THE INDICATED SIZE IN PIXELS WITH WHICH IT WILL BE EMBEDDED IS: </t>
  </si>
  <si>
    <t xml:space="preserve">COPIER LE CODE SUIVANT ET PUBLIEZ-LE O VOUS VOULEZ INTÉGRER L'IMAGE.
LA TAILLE INDIQUÉE EN PIXELS AVEC LAQUELLE ELLE SERA INTÉGRÉE EST: </t>
  </si>
  <si>
    <t xml:space="preserve">COPIE O SEGUINTE CÓDIGO E POSTE-O ONDE QUER ENCAIXAR A IMAGEM.
O TAMANHO INDICADO NOS PIXÉIS COM OS QUAIS SERÁ INCORPORADO É: </t>
  </si>
  <si>
    <t xml:space="preserve">KOPIEREN SIE DEN FOLGENDEN CODE UND POSTIEREN SIE IHN, WO SIE DAS BILD EINBINDEN MÖCHTEN.
DIE ANGEGEBENE GRÖSSE IN PIXEL, MIT DER ES EINGEBETTET WIRD, IST: </t>
  </si>
  <si>
    <t>NO HAY URL ASOCIADA A ESTA IMAGEN</t>
  </si>
  <si>
    <t xml:space="preserve">THE NAME OF THE NEW IMAGE IS: </t>
  </si>
  <si>
    <t xml:space="preserve">LE NOM DE LA NOUVELLE IMAGE EST: </t>
  </si>
  <si>
    <t xml:space="preserve">O NOME DA NOVA IMAGEM É: </t>
  </si>
  <si>
    <t xml:space="preserve">IL NOME DELLA NUOVA IMMAGINE È: </t>
  </si>
  <si>
    <t xml:space="preserve">DER NAME DES NEUEN BILDES IST: </t>
  </si>
  <si>
    <t xml:space="preserve">Are you sure you want to delete image No. </t>
  </si>
  <si>
    <t xml:space="preserve">Êtes-vous sûr de vouloir supprimer l'image No. </t>
  </si>
  <si>
    <t xml:space="preserve">Tem certeza de que deseja excluir a imagem No. </t>
  </si>
  <si>
    <t xml:space="preserve">Sei sicuro di voler eliminare l'immagine N. </t>
  </si>
  <si>
    <t xml:space="preserve">Möchten Sie das Bild Nr. </t>
  </si>
  <si>
    <t xml:space="preserve">THE IMAGE WILL NOT BE DELETED </t>
  </si>
  <si>
    <t xml:space="preserve">L'IMAGE NE SERA PAS SUPPRIMÉE </t>
  </si>
  <si>
    <t xml:space="preserve">A IMAGEM NÃO SERÁ APAGADA </t>
  </si>
  <si>
    <t xml:space="preserve">L'IMMAGINE NON VERRÀ CANCELLATA </t>
  </si>
  <si>
    <t xml:space="preserve">DAS BILD WIRD NICHT GELÖSCHT </t>
  </si>
  <si>
    <t>SELECCIONA TEMA</t>
  </si>
  <si>
    <t>SELECT TOPIC</t>
  </si>
  <si>
    <t>WÄHLEN THEMA</t>
  </si>
  <si>
    <t>TOPIC</t>
  </si>
  <si>
    <t>TOPIC IMAGE TO SHOW</t>
  </si>
  <si>
    <t>NO TOPIC SELECTED</t>
  </si>
  <si>
    <t xml:space="preserve">TOPIC WILL NOT BE DELETED </t>
  </si>
  <si>
    <t>NOUVEAU THÈME</t>
  </si>
  <si>
    <t>ALLER AU THÈME:</t>
  </si>
  <si>
    <t>SUPPRIMER LE THÈME:</t>
  </si>
  <si>
    <t>IMAGE THÈME À MONTRER</t>
  </si>
  <si>
    <t>IMAGEM TEMA PARA MOSTRAR</t>
  </si>
  <si>
    <t>SÉLECTIONNEZ THÈME</t>
  </si>
  <si>
    <t>NOM_THÈME</t>
  </si>
  <si>
    <t xml:space="preserve">ÊTES-VOUS SR DE VOULOIR SUPPRIMER LE THÈME </t>
  </si>
  <si>
    <t xml:space="preserve">LE NOM DU NOUVEAU THÈME EST: </t>
  </si>
  <si>
    <t>Écrivez le nom du nouveau THÈME que vous souhaitez inclure.
N'oubliez pas qu'il ne doit pas contenir d'espaces vides.</t>
  </si>
  <si>
    <t>NOVO TEMA</t>
  </si>
  <si>
    <t>IR PARA O TEMA:</t>
  </si>
  <si>
    <t>EXCLUIR TEMA:</t>
  </si>
  <si>
    <t>SELECIONE TEMA</t>
  </si>
  <si>
    <t>Escreva o nome do Novo TEMA que deseja incluir.
Lembre-se de que não deve haver espaços em branco.</t>
  </si>
  <si>
    <t xml:space="preserve">O NOME DO NOVO TEMA É: </t>
  </si>
  <si>
    <t xml:space="preserve">TEM A CERTEZA QUE DESEJA EXCLUIR O TEMA </t>
  </si>
  <si>
    <t xml:space="preserve">NOME_TEMA </t>
  </si>
  <si>
    <t>NUOVO TOPIC</t>
  </si>
  <si>
    <t>VAI ALL'TOPIC:</t>
  </si>
  <si>
    <t>ELIMINA TOPIC:</t>
  </si>
  <si>
    <t>IMMAGINE A TOPIC DA MOSTRARE</t>
  </si>
  <si>
    <t>SELEZIONA TOPIC</t>
  </si>
  <si>
    <t>Scrivi il nome del nuovo TOPIC che desideri includere.
Ricorda che non dovrebbe avere spazi vuoti.</t>
  </si>
  <si>
    <t xml:space="preserve">IL NOME DEL NUOVO TOPIC È: </t>
  </si>
  <si>
    <t>NESSUN TOPIC SELEZIONATO</t>
  </si>
  <si>
    <t xml:space="preserve">SEI SICURO DI VOLERE ELIMINARE L'TOPIC </t>
  </si>
  <si>
    <t xml:space="preserve">IL TOPIC NON VERRÀ ELIMINATO </t>
  </si>
  <si>
    <t>TOPIC_TOPIC</t>
  </si>
  <si>
    <t xml:space="preserve">DER NAME DES NEUEN THEMA IST: </t>
  </si>
  <si>
    <t>THEMEN_NAME</t>
  </si>
  <si>
    <t>NO HAY TEMAS.</t>
  </si>
  <si>
    <t>NO TOPICS</t>
  </si>
  <si>
    <t>AUCUN THÈMES</t>
  </si>
  <si>
    <t>NENHUM TEMAS</t>
  </si>
  <si>
    <t>NESSUN TOPICS</t>
  </si>
  <si>
    <t>KEIN THEMAS</t>
  </si>
  <si>
    <t>T_FORMULAS</t>
  </si>
  <si>
    <t>I_FRACCIÓN</t>
  </si>
  <si>
    <t>\frac{X}{2-X}</t>
  </si>
  <si>
    <t>Esta es mi primera fórmula.</t>
  </si>
  <si>
    <t>I_TRIGONOMETRÍA</t>
  </si>
  <si>
    <t>\frac{sin x}{x-1}</t>
  </si>
  <si>
    <t>Esta es mi segunda fórmula.</t>
  </si>
  <si>
    <t>T_TEXTO_EN_IMAGEN</t>
  </si>
  <si>
    <t>I_CABALLO_BLANCO</t>
  </si>
  <si>
    <t>https://drive.google.com/open?id=1s7MiujqKg2pQZj6HscvDH4nvi_e_HtOc&amp;authuser=milagros.huerta%40gm.uca.es&amp;usp=drive_fs</t>
  </si>
  <si>
    <t>¿De qué color es el caballo blanco de Santiago?</t>
  </si>
  <si>
    <t>I_Blanco</t>
  </si>
  <si>
    <t>I_Negro</t>
  </si>
  <si>
    <t>I_Beige</t>
  </si>
  <si>
    <t>https://drive.google.com/open?id=1s9AixALY1bwh53_BaHXbbADPHSikYgbS&amp;authuser=milagros.huerta%40gm.uca.es&amp;usp=drive_fs</t>
  </si>
  <si>
    <t>https://drive.google.com/open?id=1s9irYqCBZrp298JTG3iwr4E4wuBDjbiO&amp;authuser=milagros.huerta%40gm.uca.es&amp;usp=drive_fs</t>
  </si>
  <si>
    <t>https://drive.google.com/open?id=1sCeScYZyga0nCPtCNtjMFMrJqY7gOBl-&amp;authuser=milagros.huerta%40gm.uca.es&amp;usp=drive_fs</t>
  </si>
  <si>
    <t>Blanco</t>
  </si>
  <si>
    <t>Negro</t>
  </si>
  <si>
    <t>Beige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</si>
</sst>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1" x14ac:knownFonts="1">
    <font>
      <sz val="11"/>
      <color theme="1"/>
      <name val="Calibri"/>
      <family val="2"/>
      <scheme val="minor"/>
    </font>
    <font>
      <b/>
      <sz val="11"/>
      <color theme="1"/>
      <name val="Calibri"/>
      <family val="2"/>
      <scheme val="minor"/>
    </font>
    <font>
      <u/>
      <sz val="11"/>
      <color theme="10"/>
      <name val="Calibri"/>
      <family val="2"/>
      <scheme val="minor"/>
    </font>
    <font>
      <b/>
      <sz val="12"/>
      <color theme="0"/>
      <name val="Calibri"/>
      <family val="2"/>
      <scheme val="minor"/>
    </font>
    <font>
      <b/>
      <sz val="11"/>
      <color theme="0"/>
      <name val="Calibri"/>
      <family val="2"/>
      <scheme val="minor"/>
    </font>
    <font>
      <b/>
      <sz val="11"/>
      <color rgb="FF005877"/>
      <name val="Calibri"/>
      <family val="2"/>
      <scheme val="minor"/>
    </font>
    <font>
      <b/>
      <sz val="10"/>
      <color rgb="FF005877"/>
      <name val="Calibri"/>
      <family val="2"/>
      <scheme val="minor"/>
    </font>
    <font>
      <sz val="11"/>
      <color rgb="FF005877"/>
      <name val="Calibri"/>
      <family val="2"/>
      <scheme val="minor"/>
    </font>
    <font>
      <u/>
      <sz val="11"/>
      <color theme="0"/>
      <name val="Calibri"/>
      <family val="2"/>
      <scheme val="minor"/>
    </font>
    <font>
      <sz val="11"/>
      <color theme="0"/>
      <name val="Calibri"/>
      <family val="2"/>
      <scheme val="minor"/>
    </font>
    <font>
      <b/>
      <sz val="18"/>
      <color rgb="FFE87B00"/>
      <name val="Calibri"/>
      <family val="2"/>
      <scheme val="minor"/>
    </font>
    <font>
      <sz val="11"/>
      <name val="Calibri"/>
      <family val="2"/>
      <scheme val="minor"/>
    </font>
    <font>
      <b/>
      <sz val="22"/>
      <color theme="0"/>
      <name val="Calibri"/>
      <family val="2"/>
      <scheme val="minor"/>
    </font>
    <font>
      <b/>
      <sz val="24"/>
      <color theme="0"/>
      <name val="Calibri"/>
      <family val="2"/>
      <scheme val="minor"/>
    </font>
    <font>
      <b/>
      <u/>
      <sz val="22"/>
      <color theme="0"/>
      <name val="Calibri"/>
      <family val="2"/>
      <scheme val="minor"/>
    </font>
    <font>
      <b/>
      <sz val="18"/>
      <color theme="0"/>
      <name val="Calibri"/>
      <family val="2"/>
      <scheme val="minor"/>
    </font>
    <font>
      <b/>
      <sz val="9"/>
      <color rgb="FFFF0000"/>
      <name val="Calibri"/>
      <family val="2"/>
      <scheme val="minor"/>
    </font>
    <font>
      <b/>
      <sz val="11"/>
      <color rgb="FFE87B00"/>
      <name val="Calibri"/>
      <family val="2"/>
      <scheme val="minor"/>
    </font>
    <font>
      <b/>
      <sz val="14"/>
      <color theme="0"/>
      <name val="Calibri"/>
      <family val="2"/>
      <scheme val="minor"/>
    </font>
    <font>
      <b/>
      <sz val="7"/>
      <color theme="0"/>
      <name val="Calibri"/>
      <family val="2"/>
      <scheme val="minor"/>
    </font>
    <font>
      <b/>
      <u/>
      <sz val="11"/>
      <color rgb="FFFF0000"/>
      <name val="Calibri"/>
      <family val="2"/>
      <scheme val="minor"/>
    </font>
    <font>
      <b/>
      <sz val="8"/>
      <color theme="0" tint="-0.14999847407452621"/>
      <name val="Calibri"/>
      <family val="2"/>
      <scheme val="minor"/>
    </font>
    <font>
      <sz val="14"/>
      <color rgb="FF005877"/>
      <name val="Calibri"/>
      <family val="2"/>
      <scheme val="minor"/>
    </font>
    <font>
      <b/>
      <sz val="11"/>
      <color rgb="FFFF0000"/>
      <name val="Calibri"/>
      <family val="2"/>
      <scheme val="minor"/>
    </font>
    <font>
      <b/>
      <sz val="8"/>
      <color rgb="FFFF0000"/>
      <name val="Calibri"/>
      <family val="2"/>
      <scheme val="minor"/>
    </font>
    <font>
      <b/>
      <sz val="14"/>
      <color rgb="FF005877"/>
      <name val="Calibri"/>
      <family val="2"/>
      <scheme val="minor"/>
    </font>
    <font>
      <b/>
      <sz val="9"/>
      <color theme="0"/>
      <name val="Calibri"/>
      <family val="2"/>
      <scheme val="minor"/>
    </font>
    <font>
      <b/>
      <sz val="7"/>
      <color rgb="FFFF0000"/>
      <name val="Calibri"/>
      <family val="2"/>
      <scheme val="minor"/>
    </font>
    <font>
      <b/>
      <sz val="16"/>
      <color theme="0"/>
      <name val="Calibri"/>
      <family val="2"/>
      <scheme val="minor"/>
    </font>
    <font>
      <b/>
      <sz val="11"/>
      <color rgb="FFFFFFFF"/>
      <name val="Calibri"/>
      <family val="2"/>
      <scheme val="minor"/>
    </font>
    <font>
      <b/>
      <sz val="10"/>
      <color rgb="FFE87B00"/>
      <name val="Calibri"/>
      <family val="2"/>
      <scheme val="minor"/>
    </font>
  </fonts>
  <fills count="15">
    <fill>
      <patternFill patternType="none"/>
    </fill>
    <fill>
      <patternFill patternType="gray125"/>
    </fill>
    <fill>
      <patternFill patternType="solid">
        <fgColor rgb="FF005877"/>
        <bgColor indexed="64"/>
      </patternFill>
    </fill>
    <fill>
      <patternFill patternType="solid">
        <fgColor rgb="FFEC7B00"/>
        <bgColor rgb="FFE87B00"/>
      </patternFill>
    </fill>
    <fill>
      <patternFill patternType="solid">
        <fgColor theme="0" tint="-0.14996795556505021"/>
        <bgColor indexed="64"/>
      </patternFill>
    </fill>
    <fill>
      <patternFill patternType="solid">
        <fgColor theme="0"/>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rgb="FFE87B0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005877"/>
        <bgColor rgb="FFE87B00"/>
      </patternFill>
    </fill>
    <fill>
      <patternFill patternType="solid">
        <fgColor rgb="FFED7D31"/>
        <bgColor indexed="64"/>
      </patternFill>
    </fill>
    <fill>
      <patternFill patternType="solid">
        <fgColor rgb="FFD9D9D9"/>
        <bgColor indexed="64"/>
      </patternFill>
    </fill>
  </fills>
  <borders count="50">
    <border>
      <left/>
      <right/>
      <top/>
      <bottom/>
      <diagonal/>
    </border>
    <border>
      <left/>
      <right/>
      <top style="medium">
        <color rgb="FF005877"/>
      </top>
      <bottom/>
      <diagonal/>
    </border>
    <border>
      <left/>
      <right style="medium">
        <color rgb="FF005877"/>
      </right>
      <top/>
      <bottom/>
      <diagonal/>
    </border>
    <border>
      <left/>
      <right/>
      <top/>
      <bottom style="medium">
        <color rgb="FF005877"/>
      </bottom>
      <diagonal/>
    </border>
    <border>
      <left style="medium">
        <color rgb="FF005877"/>
      </left>
      <right style="medium">
        <color rgb="FF005877"/>
      </right>
      <top/>
      <bottom/>
      <diagonal/>
    </border>
    <border>
      <left style="medium">
        <color rgb="FF005877"/>
      </left>
      <right/>
      <top/>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diagonal/>
    </border>
    <border>
      <left style="medium">
        <color rgb="FF005877"/>
      </left>
      <right style="thick">
        <color rgb="FF005877"/>
      </right>
      <top style="medium">
        <color rgb="FF005877"/>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medium">
        <color rgb="FF005877"/>
      </left>
      <right style="thick">
        <color rgb="FF005877"/>
      </right>
      <top/>
      <bottom/>
      <diagonal/>
    </border>
    <border>
      <left style="thick">
        <color rgb="FF005877"/>
      </left>
      <right/>
      <top/>
      <bottom/>
      <diagonal/>
    </border>
    <border>
      <left/>
      <right style="thick">
        <color rgb="FF005877"/>
      </right>
      <top/>
      <bottom/>
      <diagonal/>
    </border>
    <border>
      <left/>
      <right/>
      <top style="thick">
        <color theme="0" tint="-0.14996795556505021"/>
      </top>
      <bottom/>
      <diagonal/>
    </border>
    <border>
      <left/>
      <right/>
      <top/>
      <bottom style="thick">
        <color theme="0" tint="-0.14996795556505021"/>
      </bottom>
      <diagonal/>
    </border>
    <border>
      <left style="medium">
        <color rgb="FF005877"/>
      </left>
      <right style="thick">
        <color rgb="FF005877"/>
      </right>
      <top/>
      <bottom style="medium">
        <color rgb="FF005877"/>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right/>
      <top/>
      <bottom style="thick">
        <color theme="0"/>
      </bottom>
      <diagonal/>
    </border>
    <border>
      <left style="thick">
        <color theme="0"/>
      </left>
      <right style="thick">
        <color theme="0"/>
      </right>
      <top style="thick">
        <color theme="0"/>
      </top>
      <bottom style="thick">
        <color theme="0"/>
      </bottom>
      <diagonal/>
    </border>
    <border>
      <left style="medium">
        <color theme="0"/>
      </left>
      <right/>
      <top/>
      <bottom style="thick">
        <color theme="0"/>
      </bottom>
      <diagonal/>
    </border>
    <border>
      <left/>
      <right/>
      <top style="thick">
        <color theme="0"/>
      </top>
      <bottom style="thick">
        <color theme="0"/>
      </bottom>
      <diagonal/>
    </border>
    <border>
      <left/>
      <right style="medium">
        <color theme="0"/>
      </right>
      <top style="thick">
        <color theme="0"/>
      </top>
      <bottom style="thick">
        <color theme="0"/>
      </bottom>
      <diagonal/>
    </border>
    <border>
      <left style="medium">
        <color theme="0"/>
      </left>
      <right style="medium">
        <color theme="0"/>
      </right>
      <top style="thick">
        <color theme="0"/>
      </top>
      <bottom style="thick">
        <color theme="0"/>
      </bottom>
      <diagonal/>
    </border>
    <border>
      <left style="medium">
        <color theme="0"/>
      </left>
      <right/>
      <top style="thick">
        <color theme="0"/>
      </top>
      <bottom style="thick">
        <color theme="0"/>
      </bottom>
      <diagonal/>
    </border>
    <border>
      <left/>
      <right style="thick">
        <color theme="0"/>
      </right>
      <top style="thick">
        <color theme="0"/>
      </top>
      <bottom style="thick">
        <color theme="0"/>
      </bottom>
      <diagonal/>
    </border>
    <border>
      <left style="thick">
        <color theme="0"/>
      </left>
      <right/>
      <top style="thick">
        <color theme="0"/>
      </top>
      <bottom style="thick">
        <color theme="0"/>
      </bottom>
      <diagonal/>
    </border>
    <border>
      <left/>
      <right style="thick">
        <color theme="0"/>
      </right>
      <top/>
      <bottom style="thick">
        <color theme="0"/>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top style="thick">
        <color theme="0"/>
      </top>
      <bottom/>
      <diagonal/>
    </border>
    <border>
      <left style="double">
        <color rgb="FFE87B00"/>
      </left>
      <right style="double">
        <color rgb="FFE87B00"/>
      </right>
      <top style="double">
        <color rgb="FFE87B00"/>
      </top>
      <bottom/>
      <diagonal/>
    </border>
    <border>
      <left style="double">
        <color rgb="FFE87B00"/>
      </left>
      <right style="double">
        <color rgb="FFE87B00"/>
      </right>
      <top/>
      <bottom/>
      <diagonal/>
    </border>
    <border>
      <left style="double">
        <color rgb="FFE87B00"/>
      </left>
      <right style="double">
        <color rgb="FFE87B00"/>
      </right>
      <top style="thick">
        <color rgb="FFE87B00"/>
      </top>
      <bottom/>
      <diagonal/>
    </border>
    <border>
      <left style="double">
        <color rgb="FFE87B00"/>
      </left>
      <right style="double">
        <color rgb="FFE87B00"/>
      </right>
      <top/>
      <bottom style="thick">
        <color rgb="FFE87B00"/>
      </bottom>
      <diagonal/>
    </border>
    <border>
      <left style="double">
        <color rgb="FFE87B00"/>
      </left>
      <right style="double">
        <color rgb="FFE87B00"/>
      </right>
      <top/>
      <bottom style="double">
        <color rgb="FFE87B00"/>
      </bottom>
      <diagonal/>
    </border>
    <border>
      <left style="double">
        <color rgb="FFE87B00"/>
      </left>
      <right/>
      <top style="double">
        <color rgb="FFE87B00"/>
      </top>
      <bottom/>
      <diagonal/>
    </border>
    <border>
      <left/>
      <right/>
      <top style="double">
        <color rgb="FFE87B00"/>
      </top>
      <bottom/>
      <diagonal/>
    </border>
    <border>
      <left/>
      <right style="double">
        <color rgb="FFE87B00"/>
      </right>
      <top style="double">
        <color rgb="FFE87B00"/>
      </top>
      <bottom/>
      <diagonal/>
    </border>
    <border>
      <left style="double">
        <color rgb="FFE87B00"/>
      </left>
      <right/>
      <top/>
      <bottom/>
      <diagonal/>
    </border>
    <border>
      <left/>
      <right style="double">
        <color rgb="FFE87B00"/>
      </right>
      <top/>
      <bottom/>
      <diagonal/>
    </border>
    <border>
      <left style="double">
        <color rgb="FFE87B00"/>
      </left>
      <right/>
      <top/>
      <bottom style="double">
        <color rgb="FFE87B00"/>
      </bottom>
      <diagonal/>
    </border>
    <border>
      <left/>
      <right/>
      <top/>
      <bottom style="double">
        <color rgb="FFE87B00"/>
      </bottom>
      <diagonal/>
    </border>
    <border>
      <left/>
      <right style="double">
        <color rgb="FFE87B00"/>
      </right>
      <top/>
      <bottom style="double">
        <color rgb="FFE87B00"/>
      </bottom>
      <diagonal/>
    </border>
    <border>
      <left/>
      <right style="medium">
        <color rgb="FF005877"/>
      </right>
      <top style="thick">
        <color theme="0"/>
      </top>
      <bottom/>
      <diagonal/>
    </border>
    <border>
      <left/>
      <right style="medium">
        <color theme="0"/>
      </right>
      <top/>
      <bottom style="thick">
        <color theme="0"/>
      </bottom>
      <diagonal/>
    </border>
    <border>
      <left style="medium">
        <color theme="0"/>
      </left>
      <right style="medium">
        <color theme="0"/>
      </right>
      <top/>
      <bottom style="thick">
        <color theme="0"/>
      </bottom>
      <diagonal/>
    </border>
  </borders>
  <cellStyleXfs count="2">
    <xf numFmtId="0" fontId="0" fillId="0" borderId="0"/>
    <xf numFmtId="0" fontId="2" fillId="0" borderId="0" applyNumberFormat="0" applyFill="0" applyBorder="0" applyAlignment="0" applyProtection="0"/>
  </cellStyleXfs>
  <cellXfs count="177">
    <xf numFmtId="0" fontId="0" fillId="0" borderId="0" xfId="0"/>
    <xf numFmtId="0" fontId="1" fillId="0" borderId="0" xfId="0" applyFont="1" applyAlignment="1">
      <alignment horizontal="center" vertical="center"/>
    </xf>
    <xf numFmtId="0" fontId="1" fillId="0" borderId="0" xfId="0" applyFont="1" applyAlignment="1">
      <alignment horizontal="left" vertical="center"/>
    </xf>
    <xf numFmtId="0" fontId="5" fillId="5" borderId="0" xfId="0" applyFont="1" applyFill="1" applyAlignment="1">
      <alignment vertical="center"/>
    </xf>
    <xf numFmtId="0" fontId="4" fillId="0" borderId="0" xfId="0" applyFont="1" applyAlignment="1">
      <alignment horizontal="center"/>
    </xf>
    <xf numFmtId="0" fontId="1" fillId="0" borderId="4" xfId="0" applyFont="1" applyBorder="1" applyAlignment="1">
      <alignment horizontal="center" vertical="center"/>
    </xf>
    <xf numFmtId="0" fontId="8" fillId="0" borderId="0" xfId="1" applyFont="1" applyAlignment="1">
      <alignment horizontal="right"/>
    </xf>
    <xf numFmtId="0" fontId="4" fillId="0" borderId="0" xfId="0" applyFont="1" applyAlignment="1">
      <alignment horizontal="right"/>
    </xf>
    <xf numFmtId="0" fontId="0" fillId="0" borderId="0" xfId="0" applyAlignment="1" applyProtection="1">
      <alignment vertical="center"/>
    </xf>
    <xf numFmtId="0" fontId="0" fillId="0" borderId="0" xfId="0" applyProtection="1"/>
    <xf numFmtId="0" fontId="0" fillId="0" borderId="0" xfId="0" applyBorder="1" applyAlignment="1">
      <alignment vertical="center"/>
    </xf>
    <xf numFmtId="0" fontId="5" fillId="0" borderId="0" xfId="0" applyFont="1" applyFill="1" applyBorder="1" applyAlignment="1">
      <alignment horizontal="center" vertical="top"/>
    </xf>
    <xf numFmtId="0" fontId="11" fillId="0" borderId="0" xfId="0" applyFont="1" applyFill="1" applyBorder="1" applyAlignment="1">
      <alignment horizontal="center" vertical="top"/>
    </xf>
    <xf numFmtId="0" fontId="11" fillId="0" borderId="0" xfId="0" applyFont="1" applyFill="1" applyBorder="1" applyAlignment="1">
      <alignment horizontal="right" vertical="top"/>
    </xf>
    <xf numFmtId="0" fontId="4" fillId="2" borderId="0" xfId="0" applyFont="1" applyFill="1" applyAlignment="1">
      <alignment horizontal="center" vertical="center"/>
    </xf>
    <xf numFmtId="0" fontId="5" fillId="0" borderId="0" xfId="0" applyFont="1" applyFill="1" applyBorder="1" applyAlignment="1">
      <alignment horizontal="center"/>
    </xf>
    <xf numFmtId="0" fontId="5" fillId="0" borderId="0" xfId="0" applyFont="1" applyFill="1" applyBorder="1" applyAlignment="1">
      <alignment vertical="top"/>
    </xf>
    <xf numFmtId="0" fontId="11" fillId="0" borderId="0" xfId="0" applyFont="1" applyFill="1" applyBorder="1" applyAlignment="1">
      <alignment vertical="top"/>
    </xf>
    <xf numFmtId="0" fontId="4" fillId="2" borderId="6" xfId="0" applyFont="1" applyFill="1" applyBorder="1" applyAlignment="1">
      <alignment horizontal="center" vertical="center"/>
    </xf>
    <xf numFmtId="0" fontId="4" fillId="0" borderId="0" xfId="0" applyFont="1" applyFill="1" applyBorder="1" applyAlignment="1">
      <alignment horizontal="center" vertical="center"/>
    </xf>
    <xf numFmtId="0" fontId="5" fillId="0" borderId="0" xfId="0" applyFont="1" applyFill="1" applyBorder="1" applyAlignment="1">
      <alignment horizontal="left" vertical="top"/>
    </xf>
    <xf numFmtId="0" fontId="4" fillId="6" borderId="7" xfId="0" applyFont="1" applyFill="1" applyBorder="1" applyAlignment="1" applyProtection="1">
      <alignment vertical="top" shrinkToFit="1"/>
    </xf>
    <xf numFmtId="0" fontId="4" fillId="6" borderId="7" xfId="0" applyFont="1" applyFill="1" applyBorder="1" applyAlignment="1" applyProtection="1">
      <alignment vertical="top"/>
    </xf>
    <xf numFmtId="0" fontId="7" fillId="7" borderId="7" xfId="0" applyFont="1" applyFill="1" applyBorder="1" applyAlignment="1" applyProtection="1">
      <alignment vertical="top" shrinkToFit="1"/>
    </xf>
    <xf numFmtId="0" fontId="7" fillId="7" borderId="7" xfId="0" applyFont="1" applyFill="1" applyBorder="1" applyAlignment="1" applyProtection="1">
      <alignment vertical="top"/>
    </xf>
    <xf numFmtId="0" fontId="7" fillId="0" borderId="7" xfId="0" applyFont="1" applyFill="1" applyBorder="1" applyAlignment="1" applyProtection="1">
      <alignment vertical="top" shrinkToFit="1"/>
    </xf>
    <xf numFmtId="0" fontId="7" fillId="0" borderId="7" xfId="0" applyFont="1" applyFill="1" applyBorder="1" applyAlignment="1" applyProtection="1">
      <alignment vertical="top"/>
      <protection locked="0"/>
    </xf>
    <xf numFmtId="0" fontId="7" fillId="0" borderId="7" xfId="0" applyFont="1" applyFill="1" applyBorder="1" applyAlignment="1" applyProtection="1">
      <alignment vertical="top"/>
    </xf>
    <xf numFmtId="0" fontId="0" fillId="8" borderId="9" xfId="0" applyFill="1" applyBorder="1"/>
    <xf numFmtId="0" fontId="12" fillId="8" borderId="10" xfId="1" applyFont="1" applyFill="1" applyBorder="1" applyAlignment="1">
      <alignment vertical="center" shrinkToFit="1"/>
    </xf>
    <xf numFmtId="0" fontId="0" fillId="8" borderId="10" xfId="0" applyFill="1" applyBorder="1"/>
    <xf numFmtId="0" fontId="0" fillId="8" borderId="11" xfId="0" applyFill="1" applyBorder="1"/>
    <xf numFmtId="0" fontId="14" fillId="8" borderId="13" xfId="1" applyFont="1" applyFill="1" applyBorder="1" applyAlignment="1">
      <alignment vertical="center"/>
    </xf>
    <xf numFmtId="0" fontId="15" fillId="8" borderId="0" xfId="1" applyFont="1" applyFill="1" applyBorder="1" applyAlignment="1">
      <alignment vertical="center" shrinkToFit="1"/>
    </xf>
    <xf numFmtId="0" fontId="12" fillId="8" borderId="0" xfId="1" applyFont="1" applyFill="1" applyBorder="1" applyAlignment="1">
      <alignment vertical="center" shrinkToFit="1"/>
    </xf>
    <xf numFmtId="0" fontId="3" fillId="8" borderId="14" xfId="1" applyFont="1" applyFill="1" applyBorder="1" applyAlignment="1">
      <alignment vertical="center"/>
    </xf>
    <xf numFmtId="0" fontId="0" fillId="8" borderId="13" xfId="0" applyFill="1" applyBorder="1"/>
    <xf numFmtId="0" fontId="0" fillId="8" borderId="0" xfId="0" applyFill="1" applyBorder="1"/>
    <xf numFmtId="0" fontId="0" fillId="8" borderId="14" xfId="0" applyFill="1" applyBorder="1"/>
    <xf numFmtId="0" fontId="0" fillId="9" borderId="13" xfId="0" applyFill="1" applyBorder="1"/>
    <xf numFmtId="0" fontId="0" fillId="9" borderId="0" xfId="0" applyFill="1" applyBorder="1"/>
    <xf numFmtId="0" fontId="0" fillId="9" borderId="14" xfId="0" applyFill="1" applyBorder="1"/>
    <xf numFmtId="0" fontId="2" fillId="9" borderId="0" xfId="1" applyFill="1" applyBorder="1" applyAlignment="1">
      <alignment vertical="center"/>
    </xf>
    <xf numFmtId="0" fontId="7" fillId="9" borderId="0" xfId="0" applyFont="1" applyFill="1" applyBorder="1" applyAlignment="1">
      <alignment vertical="top" wrapText="1"/>
    </xf>
    <xf numFmtId="0" fontId="0" fillId="9" borderId="0" xfId="0" applyFill="1" applyBorder="1" applyAlignment="1"/>
    <xf numFmtId="0" fontId="0" fillId="9" borderId="14" xfId="0" applyFill="1" applyBorder="1" applyAlignment="1"/>
    <xf numFmtId="0" fontId="7" fillId="9" borderId="18" xfId="0" applyFont="1" applyFill="1" applyBorder="1" applyAlignment="1">
      <alignment horizontal="center" vertical="center" shrinkToFit="1"/>
    </xf>
    <xf numFmtId="0" fontId="0" fillId="9" borderId="19" xfId="0" applyFill="1" applyBorder="1"/>
    <xf numFmtId="0" fontId="0" fillId="9" borderId="19" xfId="0" applyFill="1" applyBorder="1" applyAlignment="1"/>
    <xf numFmtId="0" fontId="1" fillId="10" borderId="0" xfId="0" applyFont="1" applyFill="1" applyAlignment="1">
      <alignment horizontal="center" vertical="center"/>
    </xf>
    <xf numFmtId="0" fontId="1" fillId="0" borderId="0" xfId="0" applyFont="1" applyAlignment="1" applyProtection="1">
      <alignment horizontal="center" vertical="center" shrinkToFit="1"/>
      <protection locked="0"/>
    </xf>
    <xf numFmtId="0" fontId="11" fillId="0" borderId="0" xfId="0" applyFont="1" applyAlignment="1" applyProtection="1">
      <alignment horizontal="center" vertical="center"/>
      <protection locked="0"/>
    </xf>
    <xf numFmtId="0" fontId="0" fillId="0" borderId="0" xfId="0" applyProtection="1">
      <protection locked="0"/>
    </xf>
    <xf numFmtId="0" fontId="4" fillId="8" borderId="0" xfId="0" applyFont="1" applyFill="1" applyBorder="1"/>
    <xf numFmtId="0" fontId="4" fillId="8" borderId="0" xfId="0" applyFont="1" applyFill="1" applyBorder="1" applyAlignment="1">
      <alignment horizontal="right"/>
    </xf>
    <xf numFmtId="0" fontId="0" fillId="0" borderId="0" xfId="0" applyBorder="1"/>
    <xf numFmtId="0" fontId="0" fillId="0" borderId="0" xfId="0" applyFont="1" applyBorder="1"/>
    <xf numFmtId="0" fontId="0" fillId="0" borderId="0" xfId="0" applyFont="1"/>
    <xf numFmtId="0" fontId="7" fillId="0" borderId="7" xfId="0" applyFont="1" applyFill="1" applyBorder="1" applyAlignment="1" applyProtection="1">
      <alignment horizontal="left" vertical="top" shrinkToFit="1"/>
    </xf>
    <xf numFmtId="0" fontId="7" fillId="7" borderId="7" xfId="0" quotePrefix="1" applyFont="1" applyFill="1" applyBorder="1" applyAlignment="1" applyProtection="1">
      <alignment vertical="top" shrinkToFit="1"/>
    </xf>
    <xf numFmtId="0" fontId="0" fillId="0" borderId="0" xfId="0" applyAlignment="1"/>
    <xf numFmtId="0" fontId="3" fillId="2" borderId="21" xfId="1" applyFont="1" applyFill="1" applyBorder="1" applyAlignment="1">
      <alignment horizontal="center" vertical="center" shrinkToFit="1"/>
    </xf>
    <xf numFmtId="0" fontId="3" fillId="2" borderId="22" xfId="1" applyFont="1" applyFill="1" applyBorder="1" applyAlignment="1">
      <alignment horizontal="center" vertical="center" shrinkToFit="1"/>
    </xf>
    <xf numFmtId="0" fontId="7" fillId="7" borderId="7" xfId="0" quotePrefix="1" applyFont="1" applyFill="1" applyBorder="1" applyAlignment="1" applyProtection="1">
      <alignment vertical="top"/>
    </xf>
    <xf numFmtId="0" fontId="7" fillId="0" borderId="7" xfId="0" quotePrefix="1" applyFont="1" applyFill="1" applyBorder="1" applyAlignment="1" applyProtection="1">
      <alignment vertical="top" shrinkToFit="1"/>
    </xf>
    <xf numFmtId="0" fontId="6" fillId="0" borderId="0" xfId="0" applyFont="1" applyAlignment="1">
      <alignment horizontal="center" vertical="center"/>
    </xf>
    <xf numFmtId="0" fontId="6" fillId="0" borderId="0" xfId="0" applyFont="1" applyAlignment="1">
      <alignment horizontal="center" vertical="center" shrinkToFit="1"/>
    </xf>
    <xf numFmtId="0" fontId="10" fillId="5" borderId="1" xfId="0" applyFont="1" applyFill="1" applyBorder="1" applyAlignment="1">
      <alignment horizontal="center" vertical="center" shrinkToFit="1"/>
    </xf>
    <xf numFmtId="0" fontId="4" fillId="3" borderId="22" xfId="0" applyFont="1" applyFill="1" applyBorder="1" applyAlignment="1">
      <alignment horizontal="center" vertical="center"/>
    </xf>
    <xf numFmtId="0" fontId="4" fillId="6" borderId="7" xfId="0" quotePrefix="1" applyFont="1" applyFill="1" applyBorder="1" applyAlignment="1" applyProtection="1">
      <alignment vertical="top" shrinkToFit="1"/>
    </xf>
    <xf numFmtId="0" fontId="0" fillId="0" borderId="0" xfId="0" applyAlignment="1">
      <alignment vertical="center"/>
    </xf>
    <xf numFmtId="0" fontId="3" fillId="2" borderId="24" xfId="1" applyFont="1" applyFill="1" applyBorder="1" applyAlignment="1">
      <alignment horizontal="center" vertical="center" shrinkToFit="1"/>
    </xf>
    <xf numFmtId="0" fontId="7" fillId="0" borderId="7" xfId="0" quotePrefix="1" applyFont="1" applyFill="1" applyBorder="1" applyAlignment="1" applyProtection="1">
      <alignment vertical="top"/>
    </xf>
    <xf numFmtId="0" fontId="9" fillId="0" borderId="0" xfId="0" applyFont="1" applyAlignment="1">
      <alignment horizontal="right" shrinkToFit="1"/>
    </xf>
    <xf numFmtId="0" fontId="9" fillId="0" borderId="0" xfId="0" applyFont="1" applyBorder="1" applyAlignment="1">
      <alignment vertical="center"/>
    </xf>
    <xf numFmtId="0" fontId="0" fillId="0" borderId="0" xfId="0" applyAlignment="1">
      <alignment horizontal="left" vertical="center" indent="2" shrinkToFit="1"/>
    </xf>
    <xf numFmtId="0" fontId="26" fillId="3" borderId="25" xfId="0" applyFont="1" applyFill="1" applyBorder="1" applyAlignment="1" applyProtection="1">
      <alignment horizontal="center" vertical="center" wrapText="1" shrinkToFit="1"/>
    </xf>
    <xf numFmtId="0" fontId="5" fillId="0" borderId="5" xfId="0" applyFont="1" applyFill="1" applyBorder="1" applyAlignment="1" applyProtection="1">
      <alignment horizontal="center" vertical="center" shrinkToFit="1"/>
    </xf>
    <xf numFmtId="0" fontId="5" fillId="4" borderId="5" xfId="0" applyFont="1" applyFill="1" applyBorder="1" applyAlignment="1" applyProtection="1">
      <alignment horizontal="left" vertical="center" wrapText="1" indent="1"/>
    </xf>
    <xf numFmtId="0" fontId="5" fillId="0" borderId="0" xfId="0" applyFont="1" applyFill="1" applyBorder="1" applyAlignment="1" applyProtection="1">
      <alignment horizontal="left" vertical="center" indent="1"/>
    </xf>
    <xf numFmtId="0" fontId="5" fillId="4" borderId="47" xfId="0" applyFont="1" applyFill="1" applyBorder="1" applyAlignment="1" applyProtection="1">
      <alignment horizontal="center" vertical="center" shrinkToFit="1"/>
    </xf>
    <xf numFmtId="0" fontId="0" fillId="0" borderId="5" xfId="0" applyBorder="1" applyAlignment="1" applyProtection="1">
      <alignment vertical="center"/>
    </xf>
    <xf numFmtId="0" fontId="0" fillId="0" borderId="0" xfId="0" applyBorder="1" applyAlignment="1" applyProtection="1">
      <alignment horizontal="center" vertical="center"/>
    </xf>
    <xf numFmtId="0" fontId="0" fillId="0" borderId="2" xfId="0" applyBorder="1" applyProtection="1"/>
    <xf numFmtId="0" fontId="5" fillId="0" borderId="0" xfId="0" applyFont="1" applyAlignment="1" applyProtection="1">
      <alignment horizontal="left" vertical="top" indent="1"/>
    </xf>
    <xf numFmtId="0" fontId="5" fillId="0" borderId="0" xfId="0" applyFont="1" applyAlignment="1" applyProtection="1">
      <alignment horizontal="left" vertical="top" shrinkToFit="1"/>
    </xf>
    <xf numFmtId="0" fontId="28" fillId="2" borderId="31" xfId="1" applyFont="1" applyFill="1" applyBorder="1" applyAlignment="1" applyProtection="1">
      <alignment horizontal="center" vertical="center" shrinkToFit="1"/>
    </xf>
    <xf numFmtId="0" fontId="28" fillId="2" borderId="32" xfId="1" applyFont="1" applyFill="1" applyBorder="1" applyAlignment="1" applyProtection="1">
      <alignment horizontal="center" vertical="center" shrinkToFit="1"/>
    </xf>
    <xf numFmtId="0" fontId="28" fillId="12" borderId="25" xfId="0" applyFont="1" applyFill="1" applyBorder="1" applyAlignment="1" applyProtection="1">
      <alignment horizontal="left" vertical="center" indent="1" shrinkToFit="1"/>
    </xf>
    <xf numFmtId="0" fontId="4" fillId="3" borderId="26" xfId="0" applyFont="1" applyFill="1" applyBorder="1" applyAlignment="1" applyProtection="1">
      <alignment horizontal="left" vertical="center" indent="1" shrinkToFit="1"/>
    </xf>
    <xf numFmtId="0" fontId="4" fillId="3" borderId="27" xfId="0" applyFont="1" applyFill="1" applyBorder="1" applyAlignment="1" applyProtection="1">
      <alignment horizontal="left" vertical="center" indent="1" shrinkToFit="1"/>
    </xf>
    <xf numFmtId="0" fontId="5" fillId="4" borderId="0" xfId="0" applyFont="1" applyFill="1" applyBorder="1" applyAlignment="1" applyProtection="1">
      <alignment horizontal="left" vertical="center" wrapText="1" indent="2"/>
    </xf>
    <xf numFmtId="0" fontId="5" fillId="4" borderId="2" xfId="0" applyFont="1" applyFill="1" applyBorder="1" applyAlignment="1" applyProtection="1">
      <alignment horizontal="left" vertical="center" wrapText="1" indent="2"/>
    </xf>
    <xf numFmtId="0" fontId="28" fillId="2" borderId="31" xfId="1" applyFont="1" applyFill="1" applyBorder="1" applyAlignment="1" applyProtection="1">
      <alignment horizontal="center" vertical="center" shrinkToFit="1"/>
    </xf>
    <xf numFmtId="0" fontId="9" fillId="0" borderId="0" xfId="0" applyFont="1" applyAlignment="1">
      <alignment horizontal="center" vertical="center"/>
    </xf>
    <xf numFmtId="0" fontId="0" fillId="0" borderId="3" xfId="0" applyBorder="1" applyAlignment="1" applyProtection="1">
      <alignment horizontal="center" vertical="center" shrinkToFit="1"/>
      <protection locked="0"/>
    </xf>
    <xf numFmtId="0" fontId="0" fillId="0" borderId="3" xfId="0" applyBorder="1" applyAlignment="1" applyProtection="1">
      <alignment vertical="center" shrinkToFit="1"/>
      <protection locked="0"/>
    </xf>
    <xf numFmtId="0" fontId="0" fillId="0" borderId="2" xfId="0" applyBorder="1" applyAlignment="1">
      <alignment horizontal="left" vertical="center" indent="1" shrinkToFit="1"/>
    </xf>
    <xf numFmtId="0" fontId="28" fillId="12" borderId="48" xfId="0" applyFont="1" applyFill="1" applyBorder="1" applyAlignment="1" applyProtection="1">
      <alignment horizontal="left" vertical="center" indent="1" shrinkToFit="1"/>
    </xf>
    <xf numFmtId="0" fontId="4" fillId="3" borderId="49" xfId="0" applyFont="1" applyFill="1" applyBorder="1" applyAlignment="1" applyProtection="1">
      <alignment horizontal="left" vertical="center" indent="1" shrinkToFit="1"/>
    </xf>
    <xf numFmtId="0" fontId="4" fillId="3" borderId="23" xfId="0" applyFont="1" applyFill="1" applyBorder="1" applyAlignment="1" applyProtection="1">
      <alignment horizontal="left" vertical="center" indent="1" shrinkToFit="1"/>
    </xf>
    <xf numFmtId="0" fontId="5" fillId="4" borderId="0" xfId="0" applyFont="1" applyFill="1" applyBorder="1" applyAlignment="1" applyProtection="1">
      <alignment horizontal="left" vertical="center" wrapText="1" indent="2"/>
      <protection locked="0"/>
    </xf>
    <xf numFmtId="0" fontId="5" fillId="4" borderId="2" xfId="0" applyFont="1" applyFill="1" applyBorder="1" applyAlignment="1" applyProtection="1">
      <alignment horizontal="left" vertical="center" wrapText="1" indent="2"/>
      <protection locked="0"/>
    </xf>
    <xf numFmtId="0" fontId="5" fillId="0" borderId="0" xfId="0" applyFont="1" applyFill="1" applyBorder="1" applyAlignment="1" applyProtection="1">
      <alignment horizontal="left" vertical="center" wrapText="1" indent="1"/>
    </xf>
    <xf numFmtId="0" fontId="0" fillId="0" borderId="5" xfId="0" applyBorder="1" applyAlignment="1" applyProtection="1">
      <alignment horizontal="left" vertical="center" wrapText="1" indent="1"/>
    </xf>
    <xf numFmtId="0" fontId="0" fillId="0" borderId="0" xfId="0" applyAlignment="1" applyProtection="1">
      <alignment horizontal="left" vertical="center" wrapText="1" indent="1"/>
      <protection locked="0"/>
    </xf>
    <xf numFmtId="0" fontId="0" fillId="0" borderId="2" xfId="0" applyBorder="1" applyAlignment="1" applyProtection="1">
      <alignment horizontal="left" vertical="center" wrapText="1" indent="1"/>
      <protection locked="0"/>
    </xf>
    <xf numFmtId="0" fontId="0" fillId="0" borderId="0" xfId="0" applyAlignment="1" applyProtection="1">
      <alignment horizontal="left" vertical="center" wrapText="1" indent="1"/>
    </xf>
    <xf numFmtId="0" fontId="3" fillId="2" borderId="33" xfId="0" applyFont="1" applyFill="1" applyBorder="1" applyAlignment="1">
      <alignment horizontal="center" vertical="center" shrinkToFit="1"/>
    </xf>
    <xf numFmtId="0" fontId="5" fillId="0" borderId="34" xfId="0" applyFont="1" applyBorder="1" applyAlignment="1">
      <alignment shrinkToFit="1"/>
    </xf>
    <xf numFmtId="0" fontId="7" fillId="0" borderId="35" xfId="0" quotePrefix="1" applyFont="1" applyBorder="1" applyAlignment="1">
      <alignment horizontal="left" shrinkToFit="1"/>
    </xf>
    <xf numFmtId="0" fontId="5" fillId="0" borderId="36" xfId="0" applyFont="1" applyBorder="1" applyAlignment="1">
      <alignment shrinkToFit="1"/>
    </xf>
    <xf numFmtId="0" fontId="7" fillId="0" borderId="37" xfId="0" quotePrefix="1" applyFont="1" applyBorder="1" applyAlignment="1">
      <alignment horizontal="left" shrinkToFit="1"/>
    </xf>
    <xf numFmtId="0" fontId="7" fillId="0" borderId="38" xfId="0" quotePrefix="1" applyFont="1" applyBorder="1" applyAlignment="1">
      <alignment horizontal="left" shrinkToFit="1"/>
    </xf>
    <xf numFmtId="0" fontId="6" fillId="0" borderId="0" xfId="0" applyFont="1" applyAlignment="1">
      <alignment horizontal="right" vertical="center" shrinkToFit="1"/>
    </xf>
    <xf numFmtId="49" fontId="0" fillId="0" borderId="3" xfId="0" applyNumberFormat="1" applyBorder="1" applyAlignment="1" applyProtection="1">
      <alignment horizontal="left" vertical="center" indent="1" shrinkToFit="1"/>
      <protection locked="0"/>
    </xf>
    <xf numFmtId="0" fontId="0" fillId="0" borderId="3" xfId="0" applyBorder="1" applyAlignment="1" applyProtection="1">
      <alignment horizontal="left" vertical="center" indent="1" shrinkToFit="1"/>
      <protection locked="0"/>
    </xf>
    <xf numFmtId="0" fontId="0" fillId="0" borderId="0" xfId="0" applyAlignment="1" applyProtection="1">
      <alignment horizontal="left" vertical="center" indent="1" shrinkToFit="1"/>
    </xf>
    <xf numFmtId="0" fontId="30" fillId="0" borderId="0" xfId="0" applyFont="1" applyAlignment="1">
      <alignment horizontal="center" vertical="center"/>
    </xf>
    <xf numFmtId="0" fontId="4" fillId="3" borderId="24" xfId="0" applyFont="1" applyFill="1" applyBorder="1" applyAlignment="1">
      <alignment vertical="center" shrinkToFit="1"/>
    </xf>
    <xf numFmtId="0" fontId="4" fillId="3" borderId="28" xfId="0" applyFont="1" applyFill="1" applyBorder="1" applyAlignment="1">
      <alignment horizontal="left" vertical="center" shrinkToFit="1"/>
    </xf>
    <xf numFmtId="0" fontId="4" fillId="3" borderId="22" xfId="0" applyFont="1" applyFill="1" applyBorder="1" applyAlignment="1">
      <alignment horizontal="center" vertical="center" shrinkToFit="1"/>
    </xf>
    <xf numFmtId="0" fontId="4" fillId="3" borderId="29" xfId="0" applyFont="1" applyFill="1" applyBorder="1" applyAlignment="1">
      <alignment horizontal="center" vertical="center" shrinkToFit="1"/>
    </xf>
    <xf numFmtId="0" fontId="0" fillId="0" borderId="0" xfId="0" applyAlignment="1" applyProtection="1">
      <protection locked="0"/>
    </xf>
    <xf numFmtId="0" fontId="29" fillId="13" borderId="0" xfId="0" applyFont="1" applyFill="1" applyAlignment="1" applyProtection="1">
      <alignment vertical="top"/>
      <protection locked="0"/>
    </xf>
    <xf numFmtId="0" fontId="7" fillId="14" borderId="0" xfId="0" applyFont="1" applyFill="1" applyAlignment="1" applyProtection="1">
      <alignment vertical="top"/>
      <protection locked="0"/>
    </xf>
    <xf numFmtId="0" fontId="7" fillId="0" borderId="0" xfId="0" applyFont="1" applyAlignment="1" applyProtection="1">
      <alignment vertical="top"/>
      <protection locked="0"/>
    </xf>
    <xf numFmtId="0" fontId="0" fillId="0" borderId="0" xfId="0" applyAlignment="1" applyProtection="1">
      <alignment vertical="top"/>
      <protection locked="0"/>
    </xf>
    <xf numFmtId="0" fontId="28" fillId="2" borderId="31" xfId="1" applyFont="1" applyFill="1" applyBorder="1" applyAlignment="1" applyProtection="1">
      <alignment horizontal="center" vertical="center" shrinkToFit="1"/>
    </xf>
    <xf numFmtId="0" fontId="7" fillId="14" borderId="0" xfId="0" applyFont="1" applyFill="1" applyAlignment="1" applyProtection="1">
      <alignment vertical="top" wrapText="1"/>
      <protection locked="0"/>
    </xf>
    <xf numFmtId="0" fontId="7" fillId="0" borderId="0" xfId="0" applyFont="1" applyAlignment="1" applyProtection="1">
      <alignment vertical="top" wrapText="1"/>
      <protection locked="0"/>
    </xf>
    <xf numFmtId="0" fontId="6" fillId="5" borderId="8" xfId="0" applyFont="1" applyFill="1" applyBorder="1" applyAlignment="1">
      <alignment horizontal="left" vertical="center" wrapText="1"/>
    </xf>
    <xf numFmtId="0" fontId="6" fillId="5" borderId="12" xfId="0" applyFont="1" applyFill="1" applyBorder="1" applyAlignment="1">
      <alignment horizontal="left" vertical="center" wrapText="1"/>
    </xf>
    <xf numFmtId="0" fontId="6" fillId="5" borderId="17" xfId="0" applyFont="1" applyFill="1" applyBorder="1" applyAlignment="1">
      <alignment horizontal="left" vertical="center" wrapText="1"/>
    </xf>
    <xf numFmtId="0" fontId="13" fillId="8" borderId="10" xfId="1" applyFont="1" applyFill="1" applyBorder="1" applyAlignment="1">
      <alignment horizontal="center" vertical="center" shrinkToFit="1"/>
    </xf>
    <xf numFmtId="0" fontId="13" fillId="8" borderId="0" xfId="1" applyFont="1" applyFill="1" applyBorder="1" applyAlignment="1">
      <alignment horizontal="center" vertical="center" shrinkToFit="1"/>
    </xf>
    <xf numFmtId="0" fontId="3" fillId="2" borderId="0" xfId="1" applyFont="1" applyFill="1" applyBorder="1" applyAlignment="1">
      <alignment horizontal="center" vertical="center" shrinkToFit="1"/>
    </xf>
    <xf numFmtId="0" fontId="16" fillId="11" borderId="0" xfId="0" applyFont="1" applyFill="1" applyBorder="1" applyAlignment="1">
      <alignment horizontal="center" vertical="center" wrapText="1"/>
    </xf>
    <xf numFmtId="0" fontId="5" fillId="9" borderId="0" xfId="0" applyFont="1" applyFill="1" applyBorder="1" applyAlignment="1">
      <alignment horizontal="center" vertical="center"/>
    </xf>
    <xf numFmtId="0" fontId="0" fillId="9" borderId="0" xfId="0" applyFill="1" applyBorder="1" applyAlignment="1">
      <alignment horizontal="center"/>
    </xf>
    <xf numFmtId="0" fontId="19" fillId="2" borderId="14" xfId="0" applyFont="1" applyFill="1" applyBorder="1" applyAlignment="1" applyProtection="1">
      <alignment horizontal="center" vertical="center" wrapText="1" shrinkToFit="1"/>
      <protection locked="0"/>
    </xf>
    <xf numFmtId="0" fontId="20" fillId="10" borderId="0" xfId="0" applyFont="1" applyFill="1" applyBorder="1" applyAlignment="1">
      <alignment horizontal="center" vertical="center"/>
    </xf>
    <xf numFmtId="0" fontId="2" fillId="9" borderId="0" xfId="1" applyFill="1" applyBorder="1" applyAlignment="1">
      <alignment horizontal="center" vertical="center"/>
    </xf>
    <xf numFmtId="0" fontId="4" fillId="8" borderId="0" xfId="0" applyFont="1" applyFill="1" applyAlignment="1">
      <alignment horizontal="center" vertical="center"/>
    </xf>
    <xf numFmtId="0" fontId="22" fillId="9" borderId="0" xfId="0" applyFont="1" applyFill="1" applyBorder="1" applyAlignment="1">
      <alignment horizontal="justify" vertical="top" wrapText="1" shrinkToFit="1"/>
    </xf>
    <xf numFmtId="0" fontId="22" fillId="9" borderId="3" xfId="0" applyFont="1" applyFill="1" applyBorder="1" applyAlignment="1">
      <alignment horizontal="justify" vertical="top" wrapText="1" shrinkToFit="1"/>
    </xf>
    <xf numFmtId="0" fontId="19" fillId="2" borderId="14" xfId="0" applyFont="1" applyFill="1" applyBorder="1" applyAlignment="1">
      <alignment horizontal="center" vertical="center" wrapText="1"/>
    </xf>
    <xf numFmtId="0" fontId="17" fillId="0" borderId="0" xfId="0" applyFont="1" applyAlignment="1">
      <alignment horizontal="center" vertical="center"/>
    </xf>
    <xf numFmtId="0" fontId="24" fillId="10" borderId="15" xfId="0" applyFont="1" applyFill="1" applyBorder="1" applyAlignment="1">
      <alignment horizontal="center" vertical="center" wrapText="1"/>
    </xf>
    <xf numFmtId="0" fontId="24" fillId="10" borderId="0" xfId="0" applyFont="1" applyFill="1" applyBorder="1" applyAlignment="1">
      <alignment horizontal="center" vertical="center" wrapText="1"/>
    </xf>
    <xf numFmtId="0" fontId="24" fillId="10" borderId="16" xfId="0" applyFont="1" applyFill="1" applyBorder="1" applyAlignment="1">
      <alignment horizontal="center" vertical="center" wrapText="1"/>
    </xf>
    <xf numFmtId="0" fontId="22" fillId="9" borderId="0" xfId="0" applyFont="1" applyFill="1" applyBorder="1" applyAlignment="1">
      <alignment horizontal="justify" vertical="top" wrapText="1"/>
    </xf>
    <xf numFmtId="0" fontId="21" fillId="9" borderId="0" xfId="0" applyFont="1" applyFill="1" applyBorder="1" applyAlignment="1">
      <alignment horizontal="right"/>
    </xf>
    <xf numFmtId="0" fontId="21" fillId="9" borderId="14" xfId="0" applyFont="1" applyFill="1" applyBorder="1" applyAlignment="1">
      <alignment horizontal="right"/>
    </xf>
    <xf numFmtId="0" fontId="21" fillId="9" borderId="19" xfId="0" applyFont="1" applyFill="1" applyBorder="1" applyAlignment="1">
      <alignment horizontal="right"/>
    </xf>
    <xf numFmtId="0" fontId="21" fillId="9" borderId="20" xfId="0" applyFont="1" applyFill="1" applyBorder="1" applyAlignment="1">
      <alignment horizontal="right"/>
    </xf>
    <xf numFmtId="0" fontId="18" fillId="2" borderId="15" xfId="0" applyFont="1" applyFill="1" applyBorder="1" applyAlignment="1">
      <alignment horizontal="center" vertical="center" shrinkToFit="1"/>
    </xf>
    <xf numFmtId="0" fontId="18" fillId="2" borderId="0" xfId="0" applyFont="1" applyFill="1" applyBorder="1" applyAlignment="1">
      <alignment horizontal="center" vertical="center" shrinkToFit="1"/>
    </xf>
    <xf numFmtId="0" fontId="18" fillId="2" borderId="16" xfId="0" applyFont="1" applyFill="1" applyBorder="1" applyAlignment="1">
      <alignment horizontal="center" vertical="center" shrinkToFit="1"/>
    </xf>
    <xf numFmtId="0" fontId="28" fillId="2" borderId="30" xfId="1" applyFont="1" applyFill="1" applyBorder="1" applyAlignment="1" applyProtection="1">
      <alignment horizontal="center" vertical="center" shrinkToFit="1"/>
    </xf>
    <xf numFmtId="0" fontId="28" fillId="2" borderId="31" xfId="1" applyFont="1" applyFill="1" applyBorder="1" applyAlignment="1" applyProtection="1">
      <alignment horizontal="center" vertical="center" shrinkToFit="1"/>
    </xf>
    <xf numFmtId="0" fontId="27" fillId="10" borderId="0" xfId="0" applyFont="1" applyFill="1" applyAlignment="1" applyProtection="1">
      <alignment horizontal="center" vertical="center" wrapText="1"/>
    </xf>
    <xf numFmtId="0" fontId="5" fillId="0" borderId="0" xfId="0" applyFont="1" applyFill="1" applyAlignment="1">
      <alignment horizontal="right" vertical="center" wrapText="1" indent="11"/>
    </xf>
    <xf numFmtId="0" fontId="28" fillId="2" borderId="23" xfId="0" applyFont="1" applyFill="1" applyBorder="1" applyAlignment="1">
      <alignment horizontal="center" vertical="center" shrinkToFit="1"/>
    </xf>
    <xf numFmtId="0" fontId="28" fillId="2" borderId="21" xfId="0" applyFont="1" applyFill="1" applyBorder="1" applyAlignment="1">
      <alignment horizontal="center" vertical="center" shrinkToFit="1"/>
    </xf>
    <xf numFmtId="0" fontId="25" fillId="0" borderId="39" xfId="0" applyFont="1" applyBorder="1" applyAlignment="1">
      <alignment horizontal="center" vertical="center" wrapText="1"/>
    </xf>
    <xf numFmtId="0" fontId="25" fillId="0" borderId="40" xfId="0" applyFont="1" applyBorder="1" applyAlignment="1">
      <alignment horizontal="center" vertical="center" wrapText="1"/>
    </xf>
    <xf numFmtId="0" fontId="25" fillId="0" borderId="41" xfId="0" applyFont="1" applyBorder="1" applyAlignment="1">
      <alignment horizontal="center" vertical="center" wrapText="1"/>
    </xf>
    <xf numFmtId="0" fontId="25" fillId="0" borderId="42" xfId="0" applyFont="1" applyBorder="1" applyAlignment="1">
      <alignment horizontal="center" vertical="center" wrapText="1"/>
    </xf>
    <xf numFmtId="0" fontId="25" fillId="0" borderId="0" xfId="0" applyFont="1" applyBorder="1" applyAlignment="1">
      <alignment horizontal="center" vertical="center" wrapText="1"/>
    </xf>
    <xf numFmtId="0" fontId="25" fillId="0" borderId="43" xfId="0" applyFont="1" applyBorder="1" applyAlignment="1">
      <alignment horizontal="center" vertical="center" wrapText="1"/>
    </xf>
    <xf numFmtId="0" fontId="25" fillId="0" borderId="44"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46" xfId="0" applyFont="1" applyBorder="1" applyAlignment="1">
      <alignment horizontal="center" vertical="center" wrapText="1"/>
    </xf>
    <xf numFmtId="0" fontId="23" fillId="10" borderId="0" xfId="0" applyFont="1" applyFill="1" applyBorder="1" applyAlignment="1">
      <alignment horizontal="center" vertical="center"/>
    </xf>
    <xf numFmtId="0" fontId="9" fillId="0" borderId="0" xfId="0" applyFont="1" applyBorder="1" applyAlignment="1">
      <alignment horizontal="center" vertical="center"/>
    </xf>
    <xf numFmtId="0" fontId="0" fillId="0" borderId="42" xfId="0" applyBorder="1" applyAlignment="1">
      <alignment horizontal="center" vertical="center"/>
    </xf>
  </cellXfs>
  <cellStyles count="2">
    <cellStyle name="Hipervínculo" xfId="1" builtinId="8"/>
    <cellStyle name="Normal" xfId="0" builtinId="0"/>
  </cellStyles>
  <dxfs count="39">
    <dxf>
      <border outline="0">
        <top style="thick">
          <color theme="0"/>
        </top>
      </border>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rgb="FFE87B00"/>
          <bgColor rgb="FFEC7B00"/>
        </patternFill>
      </fill>
      <alignment horizontal="left" vertical="center" textRotation="0" wrapText="0" indent="1" justifyLastLine="0" shrinkToFit="1" readingOrder="0"/>
      <border diagonalUp="0" diagonalDown="0" outline="0">
        <left style="medium">
          <color theme="0"/>
        </left>
        <right style="medium">
          <color theme="0"/>
        </right>
        <top/>
        <bottom/>
      </border>
      <protection locked="1" hidden="0"/>
    </dxf>
    <dxf>
      <border outline="0">
        <top style="thick">
          <color theme="0"/>
        </top>
      </border>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rgb="FFE87B00"/>
          <bgColor rgb="FFEC7B00"/>
        </patternFill>
      </fill>
      <alignment horizontal="left" vertical="center" textRotation="0" wrapText="0" indent="1" justifyLastLine="0" shrinkToFit="1" readingOrder="0"/>
      <border diagonalUp="0" diagonalDown="0" outline="0">
        <left style="medium">
          <color theme="0"/>
        </left>
        <right style="medium">
          <color theme="0"/>
        </right>
        <top/>
        <bottom/>
      </border>
      <protection locked="1" hidden="0"/>
    </dxf>
    <dxf>
      <border outline="0">
        <top style="thick">
          <color theme="0"/>
        </top>
      </border>
    </dxf>
    <dxf>
      <border outline="0">
        <bottom style="thick">
          <color theme="0"/>
        </bottom>
      </border>
    </dxf>
    <dxf>
      <font>
        <b/>
        <i val="0"/>
        <strike val="0"/>
        <condense val="0"/>
        <extend val="0"/>
        <outline val="0"/>
        <shadow val="0"/>
        <u val="none"/>
        <vertAlign val="baseline"/>
        <sz val="11"/>
        <color theme="0"/>
        <name val="Calibri"/>
        <scheme val="minor"/>
      </font>
      <fill>
        <patternFill patternType="solid">
          <fgColor rgb="FFE87B00"/>
          <bgColor rgb="FFEC7B00"/>
        </patternFill>
      </fill>
      <alignment horizontal="left" vertical="center" textRotation="0" wrapText="0" indent="1" justifyLastLine="0" shrinkToFit="1" readingOrder="0"/>
      <border diagonalUp="0" diagonalDown="0" outline="0">
        <left style="medium">
          <color theme="0"/>
        </left>
        <right style="medium">
          <color theme="0"/>
        </right>
        <top/>
        <bottom/>
      </border>
      <protection locked="1" hidden="0"/>
    </dxf>
    <dxf>
      <alignment horizontal="left" vertical="center" textRotation="0" wrapText="0" relativeIndent="1" justifyLastLine="0" shrinkToFit="1" readingOrder="0"/>
      <protection locked="1" hidden="0"/>
    </dxf>
    <dxf>
      <border diagonalUp="0" diagonalDown="0">
        <left style="medium">
          <color rgb="FF005877"/>
        </left>
        <right style="medium">
          <color rgb="FF005877"/>
        </right>
        <top style="medium">
          <color rgb="FF005877"/>
        </top>
        <bottom style="medium">
          <color rgb="FF005877"/>
        </bottom>
      </border>
    </dxf>
    <dxf>
      <alignment horizontal="left" vertical="center" textRotation="0" wrapText="0" relativeIndent="1" justifyLastLine="0" shrinkToFit="1" readingOrder="0"/>
      <protection locked="1" hidden="0"/>
    </dxf>
    <dxf>
      <alignment horizontal="general" vertical="center" textRotation="0" wrapText="0" indent="0" justifyLastLine="0" shrinkToFit="0" readingOrder="0"/>
    </dxf>
    <dxf>
      <alignment horizontal="left" vertical="center" textRotation="0" wrapText="0" relativeIndent="1" justifyLastLine="0" shrinkToFit="1" readingOrder="0"/>
      <border diagonalUp="0" diagonalDown="0">
        <left/>
        <right style="medium">
          <color rgb="FF005877"/>
        </right>
        <top/>
        <bottom/>
        <vertical/>
        <horizontal/>
      </border>
    </dxf>
    <dxf>
      <alignment horizontal="center" vertical="center" textRotation="0" wrapText="0" indent="0" justifyLastLine="0" shrinkToFit="1" readingOrder="0"/>
      <protection locked="0" hidden="0"/>
    </dxf>
    <dxf>
      <alignment horizontal="center" vertical="center" textRotation="0" wrapText="0" indent="0" justifyLastLine="0" shrinkToFit="1" readingOrder="0"/>
      <protection locked="0" hidden="0"/>
    </dxf>
    <dxf>
      <alignment horizontal="general" vertical="center" textRotation="0" wrapText="0" indent="0" justifyLastLine="0" shrinkToFit="1" readingOrder="0"/>
      <protection locked="0" hidden="0"/>
    </dxf>
    <dxf>
      <alignment horizontal="general" vertical="center" textRotation="0" wrapText="0" indent="0" justifyLastLine="0" shrinkToFit="1" readingOrder="0"/>
      <protection locked="0" hidden="0"/>
    </dxf>
    <dxf>
      <alignment horizontal="left" vertical="center" textRotation="0" wrapText="0" relativeIndent="1" justifyLastLine="0" shrinkToFit="1" readingOrder="0"/>
      <protection locked="0" hidden="0"/>
    </dxf>
    <dxf>
      <numFmt numFmtId="30" formatCode="@"/>
      <alignment horizontal="left" vertical="center" textRotation="0" wrapText="0" relativeIndent="1" justifyLastLine="0" shrinkToFit="1" readingOrder="0"/>
      <protection locked="0" hidden="0"/>
    </dxf>
    <dxf>
      <alignment horizontal="general" vertical="center" textRotation="0" wrapText="0" indent="0" justifyLastLine="0" shrinkToFit="1"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color theme="0"/>
      </font>
    </dxf>
    <dxf>
      <font>
        <b/>
        <i val="0"/>
        <color rgb="FF9C0006"/>
      </font>
      <fill>
        <patternFill>
          <bgColor rgb="FFFFFF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rgb="FFE87B00"/>
        </patternFill>
      </fill>
    </dxf>
    <dxf>
      <fill>
        <patternFill>
          <fgColor rgb="FFFFC000"/>
        </patternFill>
      </fill>
    </dxf>
    <dxf>
      <border>
        <top/>
        <bottom/>
        <horizontal/>
      </border>
    </dxf>
    <dxf>
      <fill>
        <patternFill>
          <fgColor theme="0"/>
        </patternFill>
      </fill>
    </dxf>
    <dxf>
      <font>
        <b/>
        <i val="0"/>
        <color rgb="FF005877"/>
      </font>
      <fill>
        <patternFill>
          <fgColor theme="0" tint="-0.14993743705557422"/>
          <bgColor theme="0" tint="-0.14996795556505021"/>
        </patternFill>
      </fill>
      <border>
        <right/>
      </border>
    </dxf>
    <dxf>
      <fill>
        <patternFill>
          <bgColor theme="0"/>
        </patternFill>
      </fill>
    </dxf>
    <dxf>
      <fill>
        <patternFill>
          <bgColor theme="0" tint="-0.14996795556505021"/>
        </patternFill>
      </fill>
    </dxf>
    <dxf>
      <border>
        <right/>
      </border>
    </dxf>
    <dxf>
      <font>
        <b/>
        <i val="0"/>
        <color theme="0"/>
      </font>
      <fill>
        <patternFill patternType="solid">
          <fgColor rgb="FFE87B00"/>
          <bgColor rgb="FFEC7B00"/>
        </patternFill>
      </fill>
      <border>
        <left style="medium">
          <color rgb="FF005877"/>
        </left>
        <right style="medium">
          <color rgb="FF005877"/>
        </right>
        <top style="medium">
          <color rgb="FF005877"/>
        </top>
        <bottom style="medium">
          <color rgb="FF005877"/>
        </bottom>
        <horizontal/>
      </border>
    </dxf>
    <dxf>
      <font>
        <b/>
        <i val="0"/>
        <color rgb="FF005877"/>
      </font>
      <border>
        <left style="medium">
          <color rgb="FF005877"/>
        </left>
        <right style="medium">
          <color rgb="FF005877"/>
        </right>
        <top style="medium">
          <color rgb="FF005877"/>
        </top>
        <bottom style="medium">
          <color rgb="FF005877"/>
        </bottom>
      </border>
    </dxf>
    <dxf>
      <fill>
        <patternFill>
          <fgColor rgb="FFE87B00"/>
        </patternFill>
      </fill>
    </dxf>
  </dxfs>
  <tableStyles count="3" defaultTableStyle="Estilo de tabla nuevo" defaultPivotStyle="PivotStyleLight16">
    <tableStyle name="Estilo de tabla 2" pivot="0" count="1">
      <tableStyleElement type="firstColumnStripe" dxfId="38"/>
    </tableStyle>
    <tableStyle name="Estilo de tabla nuevo" pivot="0" count="7">
      <tableStyleElement type="wholeTable" dxfId="37"/>
      <tableStyleElement type="headerRow" dxfId="36"/>
      <tableStyleElement type="firstColumn" dxfId="35"/>
      <tableStyleElement type="firstRowStripe" dxfId="34"/>
      <tableStyleElement type="secondRowStripe" dxfId="33"/>
      <tableStyleElement type="firstColumnStripe" dxfId="32"/>
      <tableStyleElement type="secondColumnStripe" dxfId="31"/>
    </tableStyle>
    <tableStyle name="Estilo de tabla UCA" pivot="0" count="2">
      <tableStyleElement type="wholeTable" dxfId="30"/>
      <tableStyleElement type="firstColumnStripe" dxfId="29"/>
    </tableStyle>
  </tableStyles>
  <colors>
    <mruColors>
      <color rgb="FFE87B00"/>
      <color rgb="FF005877"/>
      <color rgb="FFEC7B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watch?app=desktop&amp;v=uZA-6fjO-4Y" TargetMode="External"/><Relationship Id="rId2" Type="http://schemas.openxmlformats.org/officeDocument/2006/relationships/image" Target="../media/image3.jpeg"/><Relationship Id="rId1" Type="http://schemas.openxmlformats.org/officeDocument/2006/relationships/hyperlink" Target="https://www.uca.es" TargetMode="External"/><Relationship Id="rId5" Type="http://schemas.openxmlformats.org/officeDocument/2006/relationships/image" Target="../media/image5.pn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drawing4.xml.rels><?xml version="1.0" encoding="UTF-8" standalone="yes"?>
<Relationships xmlns="http://schemas.openxmlformats.org/package/2006/relationships"><Relationship Id="rId8" Type="http://schemas.openxmlformats.org/officeDocument/2006/relationships/hyperlink" Target="https://www.uca.es/" TargetMode="External"/><Relationship Id="rId3" Type="http://schemas.openxmlformats.org/officeDocument/2006/relationships/image" Target="../media/image8.jpeg"/><Relationship Id="rId7" Type="http://schemas.openxmlformats.org/officeDocument/2006/relationships/image" Target="../media/image11.jpg"/><Relationship Id="rId2" Type="http://schemas.openxmlformats.org/officeDocument/2006/relationships/hyperlink" Target="https://picasion.com/es/" TargetMode="External"/><Relationship Id="rId1" Type="http://schemas.openxmlformats.org/officeDocument/2006/relationships/hyperlink" Target="https://www.codecogs.com/latex/eqneditor.php?lang=es-es" TargetMode="External"/><Relationship Id="rId6" Type="http://schemas.openxmlformats.org/officeDocument/2006/relationships/image" Target="../media/image10.emf"/><Relationship Id="rId11" Type="http://schemas.openxmlformats.org/officeDocument/2006/relationships/image" Target="../media/image13.png"/><Relationship Id="rId5" Type="http://schemas.openxmlformats.org/officeDocument/2006/relationships/hyperlink" Target="https://www.youtube.com/watch?v=uZA-6fjO-4Y" TargetMode="External"/><Relationship Id="rId10" Type="http://schemas.openxmlformats.org/officeDocument/2006/relationships/image" Target="../media/image7.jpeg"/><Relationship Id="rId4" Type="http://schemas.openxmlformats.org/officeDocument/2006/relationships/image" Target="../media/image9.jpeg"/><Relationship Id="rId9" Type="http://schemas.openxmlformats.org/officeDocument/2006/relationships/image" Target="../media/image12.jpeg"/></Relationships>
</file>

<file path=xl/drawings/_rels/drawing5.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11" Type="http://schemas.openxmlformats.org/officeDocument/2006/relationships/image" Target="../media/image7.jpeg"/><Relationship Id="rId5" Type="http://schemas.openxmlformats.org/officeDocument/2006/relationships/image" Target="../media/image19.gif"/><Relationship Id="rId10" Type="http://schemas.openxmlformats.org/officeDocument/2006/relationships/image" Target="../media/image24.gif"/><Relationship Id="rId4" Type="http://schemas.openxmlformats.org/officeDocument/2006/relationships/image" Target="../media/image18.gif"/><Relationship Id="rId9" Type="http://schemas.openxmlformats.org/officeDocument/2006/relationships/image" Target="../media/image23.gif"/></Relationships>
</file>

<file path=xl/drawings/_rels/drawing6.xml.rels><?xml version="1.0" encoding="UTF-8" standalone="yes"?>
<Relationships xmlns="http://schemas.openxmlformats.org/package/2006/relationships"><Relationship Id="rId3" Type="http://schemas.openxmlformats.org/officeDocument/2006/relationships/image" Target="../media/image26.gif"/><Relationship Id="rId2" Type="http://schemas.openxmlformats.org/officeDocument/2006/relationships/image" Target="../media/image7.jpeg"/><Relationship Id="rId1" Type="http://schemas.openxmlformats.org/officeDocument/2006/relationships/image" Target="../media/image25.png"/></Relationships>
</file>

<file path=xl/drawings/_rels/drawing7.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7.jpeg"/><Relationship Id="rId1" Type="http://schemas.openxmlformats.org/officeDocument/2006/relationships/image" Target="../media/image27.png"/><Relationship Id="rId5" Type="http://schemas.openxmlformats.org/officeDocument/2006/relationships/image" Target="../media/image30.png"/><Relationship Id="rId4" Type="http://schemas.openxmlformats.org/officeDocument/2006/relationships/image" Target="../media/image2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2176"/>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555825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4379989</xdr:colOff>
      <xdr:row>1</xdr:row>
      <xdr:rowOff>370417</xdr:rowOff>
    </xdr:to>
    <xdr:grpSp>
      <xdr:nvGrpSpPr>
        <xdr:cNvPr id="7" name="FID-FTP"/>
        <xdr:cNvGrpSpPr/>
      </xdr:nvGrpSpPr>
      <xdr:grpSpPr>
        <a:xfrm>
          <a:off x="0" y="0"/>
          <a:ext cx="4379989" cy="752593"/>
          <a:chOff x="2727302" y="733220"/>
          <a:chExt cx="4067833" cy="698957"/>
        </a:xfrm>
      </xdr:grpSpPr>
      <xdr:pic>
        <xdr:nvPicPr>
          <xdr:cNvPr id="8" name="FID"/>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27302" y="733220"/>
            <a:ext cx="692105" cy="69210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xdr:nvPicPr>
          <xdr:cNvPr id="9" name="FTP"/>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03030" y="740072"/>
            <a:ext cx="692105" cy="69210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18</xdr:col>
      <xdr:colOff>1297</xdr:colOff>
      <xdr:row>29</xdr:row>
      <xdr:rowOff>0</xdr:rowOff>
    </xdr:from>
    <xdr:to>
      <xdr:col>22</xdr:col>
      <xdr:colOff>355111</xdr:colOff>
      <xdr:row>34</xdr:row>
      <xdr:rowOff>117401</xdr:rowOff>
    </xdr:to>
    <xdr:pic>
      <xdr:nvPicPr>
        <xdr:cNvPr id="17"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1350" y="3867150"/>
          <a:ext cx="1879111" cy="727001"/>
        </a:xfrm>
        <a:prstGeom prst="rect">
          <a:avLst/>
        </a:prstGeom>
        <a:ln w="25400">
          <a:solidFill>
            <a:srgbClr val="E87B00"/>
          </a:solidFill>
        </a:ln>
      </xdr:spPr>
    </xdr:pic>
    <xdr:clientData/>
  </xdr:twoCellAnchor>
  <xdr:twoCellAnchor>
    <xdr:from>
      <xdr:col>18</xdr:col>
      <xdr:colOff>382442</xdr:colOff>
      <xdr:row>6</xdr:row>
      <xdr:rowOff>202044</xdr:rowOff>
    </xdr:from>
    <xdr:to>
      <xdr:col>22</xdr:col>
      <xdr:colOff>375228</xdr:colOff>
      <xdr:row>9</xdr:row>
      <xdr:rowOff>64943</xdr:rowOff>
    </xdr:to>
    <xdr:sp macro="" textlink="">
      <xdr:nvSpPr>
        <xdr:cNvPr id="4" name="YOUTUBE">
          <a:hlinkClick xmlns:r="http://schemas.openxmlformats.org/officeDocument/2006/relationships" r:id="rId3"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22</xdr:col>
      <xdr:colOff>375229</xdr:colOff>
      <xdr:row>2</xdr:row>
      <xdr:rowOff>14433</xdr:rowOff>
    </xdr:to>
    <xdr:sp macro="[0]!IR_CONSULTAR_IMAGEN" textlink="">
      <xdr:nvSpPr>
        <xdr:cNvPr id="5" name="CONSULTAR IMAGEN"/>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7"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301511</xdr:colOff>
      <xdr:row>6</xdr:row>
      <xdr:rowOff>20558</xdr:rowOff>
    </xdr:from>
    <xdr:to>
      <xdr:col>18</xdr:col>
      <xdr:colOff>157609</xdr:colOff>
      <xdr:row>10</xdr:row>
      <xdr:rowOff>178166</xdr:rowOff>
    </xdr:to>
    <xdr:grpSp>
      <xdr:nvGrpSpPr>
        <xdr:cNvPr id="6" name="FTP-FID"/>
        <xdr:cNvGrpSpPr/>
      </xdr:nvGrpSpPr>
      <xdr:grpSpPr>
        <a:xfrm>
          <a:off x="2727302" y="733220"/>
          <a:ext cx="4460990" cy="698957"/>
          <a:chOff x="2727302" y="733220"/>
          <a:chExt cx="4460990" cy="698957"/>
        </a:xfrm>
      </xdr:grpSpPr>
      <xdr:pic>
        <xdr:nvPicPr>
          <xdr:cNvPr id="10" name="FID"/>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727302" y="733220"/>
            <a:ext cx="692105" cy="69210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xdr:nvPicPr>
          <xdr:cNvPr id="11" name="FTP"/>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496187" y="740072"/>
            <a:ext cx="692105" cy="69210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1325217</xdr:colOff>
      <xdr:row>1</xdr:row>
      <xdr:rowOff>0</xdr:rowOff>
    </xdr:to>
    <xdr:sp macro="[0]!IR_CONSULTAR_IMAGEN" textlink="">
      <xdr:nvSpPr>
        <xdr:cNvPr id="11" name="CONSULTAR"/>
        <xdr:cNvSpPr/>
      </xdr:nvSpPr>
      <xdr:spPr>
        <a:xfrm>
          <a:off x="115957" y="0"/>
          <a:ext cx="3371021" cy="33130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977347</xdr:colOff>
      <xdr:row>0</xdr:row>
      <xdr:rowOff>0</xdr:rowOff>
    </xdr:from>
    <xdr:to>
      <xdr:col>3</xdr:col>
      <xdr:colOff>3983932</xdr:colOff>
      <xdr:row>0</xdr:row>
      <xdr:rowOff>430696</xdr:rowOff>
    </xdr:to>
    <xdr:sp macro="[0]!NUEVA_IMAGEN" textlink="">
      <xdr:nvSpPr>
        <xdr:cNvPr id="12" name="INSERTAR"/>
        <xdr:cNvSpPr/>
      </xdr:nvSpPr>
      <xdr:spPr>
        <a:xfrm flipH="1">
          <a:off x="3942521" y="0"/>
          <a:ext cx="3983933" cy="43069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0</xdr:row>
      <xdr:rowOff>0</xdr:rowOff>
    </xdr:from>
    <xdr:to>
      <xdr:col>4</xdr:col>
      <xdr:colOff>4003625</xdr:colOff>
      <xdr:row>1</xdr:row>
      <xdr:rowOff>0</xdr:rowOff>
    </xdr:to>
    <xdr:sp macro="[0]!BORRAR_IMAGEN" textlink="">
      <xdr:nvSpPr>
        <xdr:cNvPr id="13" name="BORRAR"/>
        <xdr:cNvSpPr/>
      </xdr:nvSpPr>
      <xdr:spPr>
        <a:xfrm flipH="1">
          <a:off x="7595152" y="0"/>
          <a:ext cx="4003625" cy="3375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175817</xdr:colOff>
      <xdr:row>2</xdr:row>
      <xdr:rowOff>33130</xdr:rowOff>
    </xdr:from>
    <xdr:to>
      <xdr:col>2</xdr:col>
      <xdr:colOff>751834</xdr:colOff>
      <xdr:row>2</xdr:row>
      <xdr:rowOff>609147</xdr:rowOff>
    </xdr:to>
    <xdr:pic>
      <xdr:nvPicPr>
        <xdr:cNvPr id="6" name="IMAGEN_GENERAL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0991" y="853108"/>
          <a:ext cx="576017" cy="576017"/>
        </a:xfrm>
        <a:prstGeom prst="rect">
          <a:avLst/>
        </a:prstGeom>
        <a:ln w="12700">
          <a:solidFill>
            <a:srgbClr val="005877"/>
          </a:solidFill>
        </a:ln>
      </xdr:spPr>
    </xdr:pic>
    <xdr:clientData fLocksWithSheet="0"/>
  </xdr:twoCellAnchor>
  <xdr:twoCellAnchor>
    <xdr:from>
      <xdr:col>6</xdr:col>
      <xdr:colOff>0</xdr:colOff>
      <xdr:row>2</xdr:row>
      <xdr:rowOff>0</xdr:rowOff>
    </xdr:from>
    <xdr:to>
      <xdr:col>6</xdr:col>
      <xdr:colOff>581005</xdr:colOff>
      <xdr:row>2</xdr:row>
      <xdr:rowOff>595858</xdr:rowOff>
    </xdr:to>
    <xdr:pic>
      <xdr:nvPicPr>
        <xdr:cNvPr id="14" name="FID"/>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57652" y="819978"/>
          <a:ext cx="581005" cy="59585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0</xdr:colOff>
      <xdr:row>19</xdr:row>
      <xdr:rowOff>0</xdr:rowOff>
    </xdr:from>
    <xdr:to>
      <xdr:col>10</xdr:col>
      <xdr:colOff>31998</xdr:colOff>
      <xdr:row>22</xdr:row>
      <xdr:rowOff>191597</xdr:rowOff>
    </xdr:to>
    <xdr:grpSp>
      <xdr:nvGrpSpPr>
        <xdr:cNvPr id="2" name="WEBs"/>
        <xdr:cNvGrpSpPr/>
      </xdr:nvGrpSpPr>
      <xdr:grpSpPr>
        <a:xfrm>
          <a:off x="8314857" y="3872459"/>
          <a:ext cx="3537510" cy="800572"/>
          <a:chOff x="8552861" y="3770722"/>
          <a:chExt cx="4725761" cy="780772"/>
        </a:xfrm>
      </xdr:grpSpPr>
      <xdr:sp macro="" textlink="">
        <xdr:nvSpPr>
          <xdr:cNvPr id="21" name="WEB LATEX">
            <a:hlinkClick xmlns:r="http://schemas.openxmlformats.org/officeDocument/2006/relationships" r:id="rId1"/>
          </xdr:cNvPr>
          <xdr:cNvSpPr/>
        </xdr:nvSpPr>
        <xdr:spPr>
          <a:xfrm>
            <a:off x="8552861" y="4163505"/>
            <a:ext cx="4725761" cy="3879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22" name="WEB GIFT">
            <a:hlinkClick xmlns:r="http://schemas.openxmlformats.org/officeDocument/2006/relationships" r:id="rId2"/>
          </xdr:cNvPr>
          <xdr:cNvSpPr/>
        </xdr:nvSpPr>
        <xdr:spPr>
          <a:xfrm>
            <a:off x="8552861" y="3770722"/>
            <a:ext cx="4676010" cy="3694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9</xdr:col>
      <xdr:colOff>2741893</xdr:colOff>
      <xdr:row>8</xdr:row>
      <xdr:rowOff>200023</xdr:rowOff>
    </xdr:from>
    <xdr:to>
      <xdr:col>9</xdr:col>
      <xdr:colOff>3367029</xdr:colOff>
      <xdr:row>12</xdr:row>
      <xdr:rowOff>25817</xdr:rowOff>
    </xdr:to>
    <xdr:grpSp>
      <xdr:nvGrpSpPr>
        <xdr:cNvPr id="4" name="MOSTRAR-OCULTAR"/>
        <xdr:cNvGrpSpPr/>
      </xdr:nvGrpSpPr>
      <xdr:grpSpPr>
        <a:xfrm>
          <a:off x="11056750" y="1839572"/>
          <a:ext cx="625136" cy="637761"/>
          <a:chOff x="8657470" y="1836263"/>
          <a:chExt cx="626473" cy="585249"/>
        </a:xfrm>
      </xdr:grpSpPr>
      <xdr:pic macro="[0]!IMAGEN_OCULTA">
        <xdr:nvPicPr>
          <xdr:cNvPr id="17" name="OCULTAR_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657470" y="1837246"/>
            <a:ext cx="626179" cy="584266"/>
          </a:xfrm>
          <a:prstGeom prst="rect">
            <a:avLst/>
          </a:prstGeom>
          <a:ln w="25400" cmpd="dbl">
            <a:solidFill>
              <a:srgbClr val="005877"/>
            </a:solidFill>
          </a:ln>
        </xdr:spPr>
      </xdr:pic>
      <xdr:pic macro="[0]!IMAGEN_MUESTRA">
        <xdr:nvPicPr>
          <xdr:cNvPr id="16" name="MOSTRAR_IMAGEN" hidden="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666604" y="1836263"/>
            <a:ext cx="617339" cy="576017"/>
          </a:xfrm>
          <a:prstGeom prst="rect">
            <a:avLst/>
          </a:prstGeom>
          <a:ln w="25400" cmpd="dbl">
            <a:solidFill>
              <a:srgbClr val="005877"/>
            </a:solidFill>
          </a:ln>
        </xdr:spPr>
      </xdr:pic>
    </xdr:grpSp>
    <xdr:clientData fLocksWithSheet="0"/>
  </xdr:twoCellAnchor>
  <xdr:twoCellAnchor>
    <xdr:from>
      <xdr:col>9</xdr:col>
      <xdr:colOff>0</xdr:colOff>
      <xdr:row>5</xdr:row>
      <xdr:rowOff>0</xdr:rowOff>
    </xdr:from>
    <xdr:to>
      <xdr:col>10</xdr:col>
      <xdr:colOff>31998</xdr:colOff>
      <xdr:row>8</xdr:row>
      <xdr:rowOff>20283</xdr:rowOff>
    </xdr:to>
    <xdr:grpSp>
      <xdr:nvGrpSpPr>
        <xdr:cNvPr id="3" name="URLs"/>
        <xdr:cNvGrpSpPr/>
      </xdr:nvGrpSpPr>
      <xdr:grpSpPr>
        <a:xfrm>
          <a:off x="8314857" y="1030574"/>
          <a:ext cx="3537510" cy="629258"/>
          <a:chOff x="8552861" y="1021237"/>
          <a:chExt cx="4725761" cy="648737"/>
        </a:xfrm>
      </xdr:grpSpPr>
      <xdr:sp macro="" textlink="">
        <xdr:nvSpPr>
          <xdr:cNvPr id="23" name="YouTube">
            <a:hlinkClick xmlns:r="http://schemas.openxmlformats.org/officeDocument/2006/relationships" r:id="rId5"/>
          </xdr:cNvPr>
          <xdr:cNvSpPr/>
        </xdr:nvSpPr>
        <xdr:spPr>
          <a:xfrm>
            <a:off x="8552861" y="1453299"/>
            <a:ext cx="4725761" cy="2166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DIGO_INCRUSTAR" textlink="">
        <xdr:nvSpPr>
          <xdr:cNvPr id="24" name="CODIGO INCRUSTAR"/>
          <xdr:cNvSpPr/>
        </xdr:nvSpPr>
        <xdr:spPr>
          <a:xfrm>
            <a:off x="8552861" y="1237268"/>
            <a:ext cx="4708018" cy="21616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URL_IMAGEN" textlink="">
        <xdr:nvSpPr>
          <xdr:cNvPr id="25" name="COPIAR URL/COD"/>
          <xdr:cNvSpPr/>
        </xdr:nvSpPr>
        <xdr:spPr>
          <a:xfrm>
            <a:off x="8552861" y="1021237"/>
            <a:ext cx="4677252" cy="2066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0</xdr:colOff>
      <xdr:row>0</xdr:row>
      <xdr:rowOff>0</xdr:rowOff>
    </xdr:from>
    <xdr:to>
      <xdr:col>1</xdr:col>
      <xdr:colOff>1946174</xdr:colOff>
      <xdr:row>0</xdr:row>
      <xdr:rowOff>288017</xdr:rowOff>
    </xdr:to>
    <xdr:sp macro="[0]!NUEVO_TEMA" textlink="">
      <xdr:nvSpPr>
        <xdr:cNvPr id="29" name="NUEVO TEMA"/>
        <xdr:cNvSpPr/>
      </xdr:nvSpPr>
      <xdr:spPr>
        <a:xfrm>
          <a:off x="117835" y="0"/>
          <a:ext cx="1946174" cy="2880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0</xdr:row>
      <xdr:rowOff>0</xdr:rowOff>
    </xdr:from>
    <xdr:to>
      <xdr:col>3</xdr:col>
      <xdr:colOff>2472639</xdr:colOff>
      <xdr:row>0</xdr:row>
      <xdr:rowOff>265698</xdr:rowOff>
    </xdr:to>
    <xdr:sp macro="[0]!IR_TEMA" textlink="">
      <xdr:nvSpPr>
        <xdr:cNvPr id="18" name="IR A TEMA"/>
        <xdr:cNvSpPr/>
      </xdr:nvSpPr>
      <xdr:spPr>
        <a:xfrm>
          <a:off x="2366521" y="0"/>
          <a:ext cx="2472639" cy="2656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0</xdr:row>
      <xdr:rowOff>0</xdr:rowOff>
    </xdr:from>
    <xdr:to>
      <xdr:col>5</xdr:col>
      <xdr:colOff>0</xdr:colOff>
      <xdr:row>0</xdr:row>
      <xdr:rowOff>289200</xdr:rowOff>
    </xdr:to>
    <xdr:sp macro="[0]!BORRAR_TEMA" textlink="">
      <xdr:nvSpPr>
        <xdr:cNvPr id="20" name="BORRAR TEMA"/>
        <xdr:cNvSpPr/>
      </xdr:nvSpPr>
      <xdr:spPr>
        <a:xfrm>
          <a:off x="4909794" y="0"/>
          <a:ext cx="2543273" cy="2892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xdr:col>
      <xdr:colOff>0</xdr:colOff>
      <xdr:row>0</xdr:row>
      <xdr:rowOff>0</xdr:rowOff>
    </xdr:from>
    <xdr:to>
      <xdr:col>8</xdr:col>
      <xdr:colOff>511955</xdr:colOff>
      <xdr:row>0</xdr:row>
      <xdr:rowOff>289200</xdr:rowOff>
    </xdr:to>
    <xdr:sp macro="[0]!IR_INICIO" textlink="">
      <xdr:nvSpPr>
        <xdr:cNvPr id="19" name="INICIO"/>
        <xdr:cNvSpPr/>
      </xdr:nvSpPr>
      <xdr:spPr>
        <a:xfrm>
          <a:off x="7453067" y="0"/>
          <a:ext cx="1061852" cy="2892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3</xdr:col>
          <xdr:colOff>52921</xdr:colOff>
          <xdr:row>5</xdr:row>
          <xdr:rowOff>68795</xdr:rowOff>
        </xdr:from>
        <xdr:to>
          <xdr:col>8</xdr:col>
          <xdr:colOff>480253</xdr:colOff>
          <xdr:row>23</xdr:row>
          <xdr:rowOff>98258</xdr:rowOff>
        </xdr:to>
        <xdr:pic>
          <xdr:nvPicPr>
            <xdr:cNvPr id="28" name="Imagen MUESTRA"/>
            <xdr:cNvPicPr>
              <a:picLocks noChangeAspect="1"/>
              <a:extLst>
                <a:ext uri="{84589F7E-364E-4C9E-8A38-B11213B215E9}">
                  <a14:cameraTool cellRange="IMAGEN" spid="_x0000_s9364"/>
                </a:ext>
              </a:extLst>
            </xdr:cNvPicPr>
          </xdr:nvPicPr>
          <xdr:blipFill rotWithShape="1">
            <a:blip xmlns:r="http://schemas.openxmlformats.org/officeDocument/2006/relationships" r:embed="rId6"/>
            <a:srcRect l="4785" t="2231" r="5859" b="6744"/>
            <a:stretch>
              <a:fillRect/>
            </a:stretch>
          </xdr:blipFill>
          <xdr:spPr>
            <a:xfrm>
              <a:off x="2166030" y="1093333"/>
              <a:ext cx="6070294" cy="3631354"/>
            </a:xfrm>
            <a:prstGeom prst="rect">
              <a:avLst/>
            </a:prstGeom>
            <a:noFill/>
            <a:ln w="38100" cap="rnd" cmpd="dbl">
              <a:solidFill>
                <a:srgbClr val="005877"/>
              </a:solidFill>
            </a:ln>
          </xdr:spPr>
        </xdr:pic>
        <xdr:clientData/>
      </xdr:twoCellAnchor>
    </mc:Choice>
    <mc:Fallback/>
  </mc:AlternateContent>
  <xdr:twoCellAnchor editAs="oneCell">
    <xdr:from>
      <xdr:col>3</xdr:col>
      <xdr:colOff>1239287</xdr:colOff>
      <xdr:row>7</xdr:row>
      <xdr:rowOff>88798</xdr:rowOff>
    </xdr:from>
    <xdr:to>
      <xdr:col>4</xdr:col>
      <xdr:colOff>2239664</xdr:colOff>
      <xdr:row>20</xdr:row>
      <xdr:rowOff>128657</xdr:rowOff>
    </xdr:to>
    <xdr:pic>
      <xdr:nvPicPr>
        <xdr:cNvPr id="5" name="Imagen FONDO" hidden="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607893" y="1521763"/>
          <a:ext cx="3545996" cy="2669765"/>
        </a:xfrm>
        <a:prstGeom prst="rect">
          <a:avLst/>
        </a:prstGeom>
        <a:ln w="38100" cmpd="dbl">
          <a:solidFill>
            <a:srgbClr val="005877"/>
          </a:solidFill>
        </a:ln>
      </xdr:spPr>
    </xdr:pic>
    <xdr:clientData/>
  </xdr:twoCellAnchor>
  <xdr:twoCellAnchor>
    <xdr:from>
      <xdr:col>9</xdr:col>
      <xdr:colOff>93687</xdr:colOff>
      <xdr:row>24</xdr:row>
      <xdr:rowOff>3</xdr:rowOff>
    </xdr:from>
    <xdr:to>
      <xdr:col>9</xdr:col>
      <xdr:colOff>3498641</xdr:colOff>
      <xdr:row>26</xdr:row>
      <xdr:rowOff>200339</xdr:rowOff>
    </xdr:to>
    <xdr:grpSp>
      <xdr:nvGrpSpPr>
        <xdr:cNvPr id="34" name="UCA-FID-FTP"/>
        <xdr:cNvGrpSpPr/>
      </xdr:nvGrpSpPr>
      <xdr:grpSpPr>
        <a:xfrm>
          <a:off x="8408544" y="4887421"/>
          <a:ext cx="3404954" cy="606320"/>
          <a:chOff x="8415883" y="4833549"/>
          <a:chExt cx="3404642" cy="597420"/>
        </a:xfrm>
      </xdr:grpSpPr>
      <xdr:pic>
        <xdr:nvPicPr>
          <xdr:cNvPr id="35" name="UCA">
            <a:hlinkClick xmlns:r="http://schemas.openxmlformats.org/officeDocument/2006/relationships" r:id="rId8"/>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9375332" y="4862496"/>
            <a:ext cx="1450086" cy="568473"/>
          </a:xfrm>
          <a:prstGeom prst="rect">
            <a:avLst/>
          </a:prstGeom>
          <a:ln w="25400">
            <a:solidFill>
              <a:srgbClr val="E87B00"/>
            </a:solidFill>
          </a:ln>
        </xdr:spPr>
      </xdr:pic>
      <xdr:pic>
        <xdr:nvPicPr>
          <xdr:cNvPr id="36" name="FID"/>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415883" y="4833549"/>
            <a:ext cx="580952" cy="587111"/>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xdr:nvPicPr>
          <xdr:cNvPr id="37" name="FTP"/>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1239573" y="4839358"/>
            <a:ext cx="580952" cy="587111"/>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1325217</xdr:colOff>
      <xdr:row>1</xdr:row>
      <xdr:rowOff>0</xdr:rowOff>
    </xdr:to>
    <xdr:sp macro="[0]!IR_CONSULTAR_IMAGEN" textlink="">
      <xdr:nvSpPr>
        <xdr:cNvPr id="2" name="CONSULTAR"/>
        <xdr:cNvSpPr/>
      </xdr:nvSpPr>
      <xdr:spPr>
        <a:xfrm>
          <a:off x="266700" y="0"/>
          <a:ext cx="3987984" cy="444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977347</xdr:colOff>
      <xdr:row>0</xdr:row>
      <xdr:rowOff>0</xdr:rowOff>
    </xdr:from>
    <xdr:to>
      <xdr:col>3</xdr:col>
      <xdr:colOff>3983932</xdr:colOff>
      <xdr:row>0</xdr:row>
      <xdr:rowOff>430696</xdr:rowOff>
    </xdr:to>
    <xdr:sp macro="[0]!NUEVA_IMAGEN" textlink="">
      <xdr:nvSpPr>
        <xdr:cNvPr id="3" name="INSERTAR"/>
        <xdr:cNvSpPr/>
      </xdr:nvSpPr>
      <xdr:spPr>
        <a:xfrm flipH="1">
          <a:off x="4173514" y="0"/>
          <a:ext cx="4064918" cy="43069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0</xdr:row>
      <xdr:rowOff>0</xdr:rowOff>
    </xdr:from>
    <xdr:to>
      <xdr:col>4</xdr:col>
      <xdr:colOff>4003625</xdr:colOff>
      <xdr:row>1</xdr:row>
      <xdr:rowOff>0</xdr:rowOff>
    </xdr:to>
    <xdr:sp macro="[0]!BORRAR_IMAGEN" textlink="">
      <xdr:nvSpPr>
        <xdr:cNvPr id="4" name="BORRAR"/>
        <xdr:cNvSpPr/>
      </xdr:nvSpPr>
      <xdr:spPr>
        <a:xfrm flipH="1">
          <a:off x="8623300" y="0"/>
          <a:ext cx="4003625" cy="444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308744</xdr:colOff>
      <xdr:row>2</xdr:row>
      <xdr:rowOff>33130</xdr:rowOff>
    </xdr:from>
    <xdr:to>
      <xdr:col>2</xdr:col>
      <xdr:colOff>618907</xdr:colOff>
      <xdr:row>2</xdr:row>
      <xdr:rowOff>609147</xdr:rowOff>
    </xdr:to>
    <xdr:pic>
      <xdr:nvPicPr>
        <xdr:cNvPr id="5" name="NIÑO_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6809" y="858892"/>
          <a:ext cx="310163" cy="576017"/>
        </a:xfrm>
        <a:prstGeom prst="rect">
          <a:avLst/>
        </a:prstGeom>
        <a:ln w="12700">
          <a:solidFill>
            <a:srgbClr val="005877"/>
          </a:solidFill>
        </a:ln>
      </xdr:spPr>
    </xdr:pic>
    <xdr:clientData fLocksWithSheet="0"/>
  </xdr:twoCellAnchor>
  <xdr:twoCellAnchor>
    <xdr:from>
      <xdr:col>2</xdr:col>
      <xdr:colOff>308744</xdr:colOff>
      <xdr:row>3</xdr:row>
      <xdr:rowOff>33130</xdr:rowOff>
    </xdr:from>
    <xdr:to>
      <xdr:col>2</xdr:col>
      <xdr:colOff>618907</xdr:colOff>
      <xdr:row>3</xdr:row>
      <xdr:rowOff>609147</xdr:rowOff>
    </xdr:to>
    <xdr:pic>
      <xdr:nvPicPr>
        <xdr:cNvPr id="6" name="NIÑO_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496809" y="1496504"/>
          <a:ext cx="310163" cy="576017"/>
        </a:xfrm>
        <a:prstGeom prst="rect">
          <a:avLst/>
        </a:prstGeom>
        <a:ln w="12700">
          <a:solidFill>
            <a:srgbClr val="005877"/>
          </a:solidFill>
        </a:ln>
      </xdr:spPr>
    </xdr:pic>
    <xdr:clientData fLocksWithSheet="0"/>
  </xdr:twoCellAnchor>
  <xdr:twoCellAnchor>
    <xdr:from>
      <xdr:col>2</xdr:col>
      <xdr:colOff>308744</xdr:colOff>
      <xdr:row>4</xdr:row>
      <xdr:rowOff>33130</xdr:rowOff>
    </xdr:from>
    <xdr:to>
      <xdr:col>2</xdr:col>
      <xdr:colOff>618907</xdr:colOff>
      <xdr:row>4</xdr:row>
      <xdr:rowOff>609147</xdr:rowOff>
    </xdr:to>
    <xdr:pic>
      <xdr:nvPicPr>
        <xdr:cNvPr id="7" name="NIÑO_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496809" y="2134118"/>
          <a:ext cx="310163" cy="576017"/>
        </a:xfrm>
        <a:prstGeom prst="rect">
          <a:avLst/>
        </a:prstGeom>
        <a:ln w="12700">
          <a:solidFill>
            <a:srgbClr val="005877"/>
          </a:solidFill>
        </a:ln>
      </xdr:spPr>
    </xdr:pic>
    <xdr:clientData fLocksWithSheet="0"/>
  </xdr:twoCellAnchor>
  <xdr:twoCellAnchor>
    <xdr:from>
      <xdr:col>2</xdr:col>
      <xdr:colOff>308704</xdr:colOff>
      <xdr:row>5</xdr:row>
      <xdr:rowOff>33130</xdr:rowOff>
    </xdr:from>
    <xdr:to>
      <xdr:col>2</xdr:col>
      <xdr:colOff>618946</xdr:colOff>
      <xdr:row>5</xdr:row>
      <xdr:rowOff>609147</xdr:rowOff>
    </xdr:to>
    <xdr:pic>
      <xdr:nvPicPr>
        <xdr:cNvPr id="8" name="NIÑO_HABLANDO_LENTO"/>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496769" y="2771731"/>
          <a:ext cx="310242" cy="576017"/>
        </a:xfrm>
        <a:prstGeom prst="rect">
          <a:avLst/>
        </a:prstGeom>
        <a:ln w="12700">
          <a:solidFill>
            <a:srgbClr val="005877"/>
          </a:solidFill>
        </a:ln>
      </xdr:spPr>
    </xdr:pic>
    <xdr:clientData fLocksWithSheet="0"/>
  </xdr:twoCellAnchor>
  <xdr:twoCellAnchor>
    <xdr:from>
      <xdr:col>2</xdr:col>
      <xdr:colOff>308704</xdr:colOff>
      <xdr:row>6</xdr:row>
      <xdr:rowOff>33130</xdr:rowOff>
    </xdr:from>
    <xdr:to>
      <xdr:col>2</xdr:col>
      <xdr:colOff>618946</xdr:colOff>
      <xdr:row>6</xdr:row>
      <xdr:rowOff>609147</xdr:rowOff>
    </xdr:to>
    <xdr:pic>
      <xdr:nvPicPr>
        <xdr:cNvPr id="9" name="NIÑO_HABLANDO_RÁPIDO"/>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496769" y="3409344"/>
          <a:ext cx="310242" cy="576017"/>
        </a:xfrm>
        <a:prstGeom prst="rect">
          <a:avLst/>
        </a:prstGeom>
        <a:ln w="12700">
          <a:solidFill>
            <a:srgbClr val="005877"/>
          </a:solidFill>
        </a:ln>
      </xdr:spPr>
    </xdr:pic>
    <xdr:clientData fLocksWithSheet="0"/>
  </xdr:twoCellAnchor>
  <xdr:twoCellAnchor>
    <xdr:from>
      <xdr:col>2</xdr:col>
      <xdr:colOff>243269</xdr:colOff>
      <xdr:row>7</xdr:row>
      <xdr:rowOff>33130</xdr:rowOff>
    </xdr:from>
    <xdr:to>
      <xdr:col>2</xdr:col>
      <xdr:colOff>684382</xdr:colOff>
      <xdr:row>7</xdr:row>
      <xdr:rowOff>609147</xdr:rowOff>
    </xdr:to>
    <xdr:pic>
      <xdr:nvPicPr>
        <xdr:cNvPr id="10" name="PROFE_1"/>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431334" y="4046957"/>
          <a:ext cx="441113" cy="576017"/>
        </a:xfrm>
        <a:prstGeom prst="rect">
          <a:avLst/>
        </a:prstGeom>
        <a:ln w="12700">
          <a:solidFill>
            <a:srgbClr val="005877"/>
          </a:solidFill>
        </a:ln>
      </xdr:spPr>
    </xdr:pic>
    <xdr:clientData fLocksWithSheet="0"/>
  </xdr:twoCellAnchor>
  <xdr:twoCellAnchor>
    <xdr:from>
      <xdr:col>2</xdr:col>
      <xdr:colOff>243269</xdr:colOff>
      <xdr:row>8</xdr:row>
      <xdr:rowOff>33130</xdr:rowOff>
    </xdr:from>
    <xdr:to>
      <xdr:col>2</xdr:col>
      <xdr:colOff>684382</xdr:colOff>
      <xdr:row>8</xdr:row>
      <xdr:rowOff>609147</xdr:rowOff>
    </xdr:to>
    <xdr:pic>
      <xdr:nvPicPr>
        <xdr:cNvPr id="11" name="PROFE_2"/>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431334" y="4684571"/>
          <a:ext cx="441113" cy="576017"/>
        </a:xfrm>
        <a:prstGeom prst="rect">
          <a:avLst/>
        </a:prstGeom>
        <a:ln w="12700">
          <a:solidFill>
            <a:srgbClr val="005877"/>
          </a:solidFill>
        </a:ln>
      </xdr:spPr>
    </xdr:pic>
    <xdr:clientData fLocksWithSheet="0"/>
  </xdr:twoCellAnchor>
  <xdr:twoCellAnchor>
    <xdr:from>
      <xdr:col>2</xdr:col>
      <xdr:colOff>243269</xdr:colOff>
      <xdr:row>9</xdr:row>
      <xdr:rowOff>33130</xdr:rowOff>
    </xdr:from>
    <xdr:to>
      <xdr:col>2</xdr:col>
      <xdr:colOff>684382</xdr:colOff>
      <xdr:row>9</xdr:row>
      <xdr:rowOff>609147</xdr:rowOff>
    </xdr:to>
    <xdr:pic>
      <xdr:nvPicPr>
        <xdr:cNvPr id="12" name="PROFE_3"/>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431334" y="5322183"/>
          <a:ext cx="441113" cy="576017"/>
        </a:xfrm>
        <a:prstGeom prst="rect">
          <a:avLst/>
        </a:prstGeom>
        <a:ln w="12700">
          <a:solidFill>
            <a:srgbClr val="005877"/>
          </a:solidFill>
        </a:ln>
      </xdr:spPr>
    </xdr:pic>
    <xdr:clientData fLocksWithSheet="0"/>
  </xdr:twoCellAnchor>
  <xdr:twoCellAnchor>
    <xdr:from>
      <xdr:col>2</xdr:col>
      <xdr:colOff>243411</xdr:colOff>
      <xdr:row>10</xdr:row>
      <xdr:rowOff>33130</xdr:rowOff>
    </xdr:from>
    <xdr:to>
      <xdr:col>2</xdr:col>
      <xdr:colOff>684240</xdr:colOff>
      <xdr:row>10</xdr:row>
      <xdr:rowOff>609147</xdr:rowOff>
    </xdr:to>
    <xdr:pic>
      <xdr:nvPicPr>
        <xdr:cNvPr id="13" name="PROFE_HABLANDO_LENTO"/>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431476" y="5959797"/>
          <a:ext cx="440829" cy="576017"/>
        </a:xfrm>
        <a:prstGeom prst="rect">
          <a:avLst/>
        </a:prstGeom>
        <a:ln w="12700">
          <a:solidFill>
            <a:srgbClr val="005877"/>
          </a:solidFill>
        </a:ln>
      </xdr:spPr>
    </xdr:pic>
    <xdr:clientData fLocksWithSheet="0"/>
  </xdr:twoCellAnchor>
  <xdr:twoCellAnchor>
    <xdr:from>
      <xdr:col>2</xdr:col>
      <xdr:colOff>243411</xdr:colOff>
      <xdr:row>11</xdr:row>
      <xdr:rowOff>33130</xdr:rowOff>
    </xdr:from>
    <xdr:to>
      <xdr:col>2</xdr:col>
      <xdr:colOff>684240</xdr:colOff>
      <xdr:row>11</xdr:row>
      <xdr:rowOff>609147</xdr:rowOff>
    </xdr:to>
    <xdr:pic>
      <xdr:nvPicPr>
        <xdr:cNvPr id="14" name="PROFE_HABLANDO_RÁPDIO"/>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431476" y="6597410"/>
          <a:ext cx="440829" cy="576017"/>
        </a:xfrm>
        <a:prstGeom prst="rect">
          <a:avLst/>
        </a:prstGeom>
        <a:ln w="12700">
          <a:solidFill>
            <a:srgbClr val="005877"/>
          </a:solidFill>
        </a:ln>
      </xdr:spPr>
    </xdr:pic>
    <xdr:clientData fLocksWithSheet="0"/>
  </xdr:twoCellAnchor>
  <xdr:twoCellAnchor>
    <xdr:from>
      <xdr:col>6</xdr:col>
      <xdr:colOff>0</xdr:colOff>
      <xdr:row>2</xdr:row>
      <xdr:rowOff>0</xdr:rowOff>
    </xdr:from>
    <xdr:to>
      <xdr:col>6</xdr:col>
      <xdr:colOff>581005</xdr:colOff>
      <xdr:row>2</xdr:row>
      <xdr:rowOff>595858</xdr:rowOff>
    </xdr:to>
    <xdr:pic>
      <xdr:nvPicPr>
        <xdr:cNvPr id="18" name="FID"/>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2357652" y="819978"/>
          <a:ext cx="581005" cy="59585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1325217</xdr:colOff>
      <xdr:row>1</xdr:row>
      <xdr:rowOff>0</xdr:rowOff>
    </xdr:to>
    <xdr:sp macro="[0]!IR_CONSULTAR_IMAGEN" textlink="">
      <xdr:nvSpPr>
        <xdr:cNvPr id="2" name="CONSULTAR"/>
        <xdr:cNvSpPr/>
      </xdr:nvSpPr>
      <xdr:spPr>
        <a:xfrm>
          <a:off x="247650" y="0"/>
          <a:ext cx="3696942" cy="4381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977347</xdr:colOff>
      <xdr:row>0</xdr:row>
      <xdr:rowOff>0</xdr:rowOff>
    </xdr:from>
    <xdr:to>
      <xdr:col>3</xdr:col>
      <xdr:colOff>3983932</xdr:colOff>
      <xdr:row>0</xdr:row>
      <xdr:rowOff>430696</xdr:rowOff>
    </xdr:to>
    <xdr:sp macro="[0]!NUEVA_IMAGEN" textlink="">
      <xdr:nvSpPr>
        <xdr:cNvPr id="3" name="INSERTAR"/>
        <xdr:cNvSpPr/>
      </xdr:nvSpPr>
      <xdr:spPr>
        <a:xfrm flipH="1">
          <a:off x="3939622" y="0"/>
          <a:ext cx="3987660" cy="43069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0</xdr:row>
      <xdr:rowOff>0</xdr:rowOff>
    </xdr:from>
    <xdr:to>
      <xdr:col>4</xdr:col>
      <xdr:colOff>4003625</xdr:colOff>
      <xdr:row>1</xdr:row>
      <xdr:rowOff>0</xdr:rowOff>
    </xdr:to>
    <xdr:sp macro="[0]!BORRAR_IMAGEN" textlink="">
      <xdr:nvSpPr>
        <xdr:cNvPr id="4" name="BORRAR"/>
        <xdr:cNvSpPr/>
      </xdr:nvSpPr>
      <xdr:spPr>
        <a:xfrm flipH="1">
          <a:off x="7991475" y="0"/>
          <a:ext cx="4003625" cy="4381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175817</xdr:colOff>
      <xdr:row>2</xdr:row>
      <xdr:rowOff>93132</xdr:rowOff>
    </xdr:from>
    <xdr:to>
      <xdr:col>2</xdr:col>
      <xdr:colOff>751834</xdr:colOff>
      <xdr:row>2</xdr:row>
      <xdr:rowOff>549145</xdr:rowOff>
    </xdr:to>
    <xdr:pic>
      <xdr:nvPicPr>
        <xdr:cNvPr id="5" name="I_FRACCIÓ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40991" y="913110"/>
          <a:ext cx="576017" cy="456013"/>
        </a:xfrm>
        <a:prstGeom prst="rect">
          <a:avLst/>
        </a:prstGeom>
        <a:ln w="12700">
          <a:solidFill>
            <a:srgbClr val="005877"/>
          </a:solidFill>
        </a:ln>
      </xdr:spPr>
    </xdr:pic>
    <xdr:clientData fLocksWithSheet="0"/>
  </xdr:twoCellAnchor>
  <xdr:twoCellAnchor>
    <xdr:from>
      <xdr:col>6</xdr:col>
      <xdr:colOff>0</xdr:colOff>
      <xdr:row>2</xdr:row>
      <xdr:rowOff>0</xdr:rowOff>
    </xdr:from>
    <xdr:to>
      <xdr:col>6</xdr:col>
      <xdr:colOff>581005</xdr:colOff>
      <xdr:row>2</xdr:row>
      <xdr:rowOff>595858</xdr:rowOff>
    </xdr:to>
    <xdr:pic>
      <xdr:nvPicPr>
        <xdr:cNvPr id="6" name="FID"/>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53925" y="819150"/>
          <a:ext cx="581005" cy="59585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2</xdr:col>
      <xdr:colOff>175817</xdr:colOff>
      <xdr:row>3</xdr:row>
      <xdr:rowOff>64435</xdr:rowOff>
    </xdr:from>
    <xdr:to>
      <xdr:col>2</xdr:col>
      <xdr:colOff>751834</xdr:colOff>
      <xdr:row>3</xdr:row>
      <xdr:rowOff>577841</xdr:rowOff>
    </xdr:to>
    <xdr:pic>
      <xdr:nvPicPr>
        <xdr:cNvPr id="7" name="I_TRIGONOMETRÍA"/>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140991" y="1522174"/>
          <a:ext cx="576017" cy="513406"/>
        </a:xfrm>
        <a:prstGeom prst="rect">
          <a:avLst/>
        </a:prstGeom>
        <a:ln w="12700">
          <a:solidFill>
            <a:srgbClr val="005877"/>
          </a:solidFill>
        </a:ln>
      </xdr:spPr>
    </xdr:pic>
    <xdr:clientData fLocksWithSheet="0"/>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1325217</xdr:colOff>
      <xdr:row>1</xdr:row>
      <xdr:rowOff>0</xdr:rowOff>
    </xdr:to>
    <xdr:sp macro="[0]!IR_CONSULTAR_IMAGEN" textlink="">
      <xdr:nvSpPr>
        <xdr:cNvPr id="2" name="CONSULTAR"/>
        <xdr:cNvSpPr/>
      </xdr:nvSpPr>
      <xdr:spPr>
        <a:xfrm>
          <a:off x="247650" y="0"/>
          <a:ext cx="3696942" cy="4381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977347</xdr:colOff>
      <xdr:row>0</xdr:row>
      <xdr:rowOff>0</xdr:rowOff>
    </xdr:from>
    <xdr:to>
      <xdr:col>3</xdr:col>
      <xdr:colOff>3983932</xdr:colOff>
      <xdr:row>0</xdr:row>
      <xdr:rowOff>430696</xdr:rowOff>
    </xdr:to>
    <xdr:sp macro="[0]!NUEVA_IMAGEN" textlink="">
      <xdr:nvSpPr>
        <xdr:cNvPr id="3" name="INSERTAR"/>
        <xdr:cNvSpPr/>
      </xdr:nvSpPr>
      <xdr:spPr>
        <a:xfrm flipH="1">
          <a:off x="3939622" y="0"/>
          <a:ext cx="3987660" cy="43069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0</xdr:row>
      <xdr:rowOff>0</xdr:rowOff>
    </xdr:from>
    <xdr:to>
      <xdr:col>4</xdr:col>
      <xdr:colOff>4003625</xdr:colOff>
      <xdr:row>1</xdr:row>
      <xdr:rowOff>0</xdr:rowOff>
    </xdr:to>
    <xdr:sp macro="[0]!BORRAR_IMAGEN" textlink="">
      <xdr:nvSpPr>
        <xdr:cNvPr id="4" name="BORRAR"/>
        <xdr:cNvSpPr/>
      </xdr:nvSpPr>
      <xdr:spPr>
        <a:xfrm flipH="1">
          <a:off x="7991475" y="0"/>
          <a:ext cx="4003625" cy="4381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1883</xdr:colOff>
      <xdr:row>2</xdr:row>
      <xdr:rowOff>219417</xdr:rowOff>
    </xdr:from>
    <xdr:to>
      <xdr:col>2</xdr:col>
      <xdr:colOff>944219</xdr:colOff>
      <xdr:row>2</xdr:row>
      <xdr:rowOff>438979</xdr:rowOff>
    </xdr:to>
    <xdr:pic>
      <xdr:nvPicPr>
        <xdr:cNvPr id="5" name="I_CABALLO_BLANCO"/>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67057" y="1039395"/>
          <a:ext cx="942336" cy="219562"/>
        </a:xfrm>
        <a:prstGeom prst="rect">
          <a:avLst/>
        </a:prstGeom>
        <a:ln w="12700">
          <a:solidFill>
            <a:srgbClr val="005877"/>
          </a:solidFill>
        </a:ln>
      </xdr:spPr>
    </xdr:pic>
    <xdr:clientData fLocksWithSheet="0"/>
  </xdr:twoCellAnchor>
  <xdr:twoCellAnchor>
    <xdr:from>
      <xdr:col>6</xdr:col>
      <xdr:colOff>0</xdr:colOff>
      <xdr:row>2</xdr:row>
      <xdr:rowOff>0</xdr:rowOff>
    </xdr:from>
    <xdr:to>
      <xdr:col>6</xdr:col>
      <xdr:colOff>581005</xdr:colOff>
      <xdr:row>2</xdr:row>
      <xdr:rowOff>595858</xdr:rowOff>
    </xdr:to>
    <xdr:pic>
      <xdr:nvPicPr>
        <xdr:cNvPr id="6" name="FID"/>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53925" y="819150"/>
          <a:ext cx="581005" cy="59585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2</xdr:col>
      <xdr:colOff>43295</xdr:colOff>
      <xdr:row>3</xdr:row>
      <xdr:rowOff>126886</xdr:rowOff>
    </xdr:from>
    <xdr:to>
      <xdr:col>3</xdr:col>
      <xdr:colOff>9066</xdr:colOff>
      <xdr:row>3</xdr:row>
      <xdr:rowOff>356152</xdr:rowOff>
    </xdr:to>
    <xdr:pic>
      <xdr:nvPicPr>
        <xdr:cNvPr id="7" name="I_Blanco"/>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08469" y="1584625"/>
          <a:ext cx="943119" cy="229266"/>
        </a:xfrm>
        <a:prstGeom prst="rect">
          <a:avLst/>
        </a:prstGeom>
        <a:ln w="12700">
          <a:solidFill>
            <a:srgbClr val="005877"/>
          </a:solidFill>
        </a:ln>
      </xdr:spPr>
    </xdr:pic>
    <xdr:clientData fLocksWithSheet="0"/>
  </xdr:twoCellAnchor>
  <xdr:twoCellAnchor>
    <xdr:from>
      <xdr:col>2</xdr:col>
      <xdr:colOff>26730</xdr:colOff>
      <xdr:row>4</xdr:row>
      <xdr:rowOff>126000</xdr:rowOff>
    </xdr:from>
    <xdr:to>
      <xdr:col>2</xdr:col>
      <xdr:colOff>935935</xdr:colOff>
      <xdr:row>4</xdr:row>
      <xdr:rowOff>375969</xdr:rowOff>
    </xdr:to>
    <xdr:pic>
      <xdr:nvPicPr>
        <xdr:cNvPr id="8" name="I_Negro"/>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991904" y="2221500"/>
          <a:ext cx="909205" cy="249969"/>
        </a:xfrm>
        <a:prstGeom prst="rect">
          <a:avLst/>
        </a:prstGeom>
        <a:ln w="12700">
          <a:solidFill>
            <a:srgbClr val="005877"/>
          </a:solidFill>
        </a:ln>
      </xdr:spPr>
    </xdr:pic>
    <xdr:clientData fLocksWithSheet="0"/>
  </xdr:twoCellAnchor>
  <xdr:twoCellAnchor>
    <xdr:from>
      <xdr:col>2</xdr:col>
      <xdr:colOff>26730</xdr:colOff>
      <xdr:row>5</xdr:row>
      <xdr:rowOff>113667</xdr:rowOff>
    </xdr:from>
    <xdr:to>
      <xdr:col>2</xdr:col>
      <xdr:colOff>944217</xdr:colOff>
      <xdr:row>5</xdr:row>
      <xdr:rowOff>537122</xdr:rowOff>
    </xdr:to>
    <xdr:pic>
      <xdr:nvPicPr>
        <xdr:cNvPr id="10" name="I_Beige"/>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991904" y="2846928"/>
          <a:ext cx="917487" cy="423455"/>
        </a:xfrm>
        <a:prstGeom prst="rect">
          <a:avLst/>
        </a:prstGeom>
        <a:ln w="12700">
          <a:solidFill>
            <a:srgbClr val="005877"/>
          </a:solidFill>
        </a:ln>
      </xdr:spPr>
    </xdr:pic>
    <xdr:clientData fLocksWithSheet="0"/>
  </xdr:twoCellAnchor>
</xdr:wsDr>
</file>

<file path=xl/tables/table1.xml><?xml version="1.0" encoding="utf-8"?>
<table xmlns="http://schemas.openxmlformats.org/spreadsheetml/2006/main" id="3" name="Tabla13" displayName="Tabla13" ref="A38:B45" totalsRowShown="0" headerRowDxfId="28" dataDxfId="27" tableBorderDxfId="26">
  <autoFilter ref="A38:B45"/>
  <tableColumns count="2">
    <tableColumn id="1" name="NOMBRE" dataDxfId="25"/>
    <tableColumn id="2" name="SIGLA" dataDxfId="24"/>
  </tableColumns>
  <tableStyleInfo name="Estilo de tabla 2" showFirstColumn="0" showLastColumn="0" showRowStripes="1" showColumnStripes="0"/>
</table>
</file>

<file path=xl/tables/table2.xml><?xml version="1.0" encoding="utf-8"?>
<table xmlns="http://schemas.openxmlformats.org/spreadsheetml/2006/main" id="10" name="DATOS_IMAGEN" displayName="DATOS_IMAGEN" ref="D3:J4" totalsRowShown="0" headerRowDxfId="21" dataDxfId="20">
  <tableColumns count="7">
    <tableColumn id="1" name="TEMA IMAGEN A MOSTRAR" dataDxfId="19"/>
    <tableColumn id="2" name="NOMBRE IMAGEN" dataDxfId="18"/>
    <tableColumn id="3" name="IMAGEN" dataDxfId="17">
      <calculatedColumnFormula>IFERROR(DATOS_IMAGEN[TEMA IMAGEN A MOSTRAR]&amp;"!"&amp;VLOOKUP(DATOS_IMAGEN[NOMBRE IMAGEN],INDIRECT("LISTA_"&amp;D4),1,0),"MAL")</calculatedColumnFormula>
    </tableColumn>
    <tableColumn id="7" name="COMENTARIO" dataDxfId="16">
      <calculatedColumnFormula>IFERROR(VLOOKUP(DATOS_IMAGEN[NOMBRE IMAGEN],INDIRECT("TABLA_"&amp;D4),4,0),"MAL")</calculatedColumnFormula>
    </tableColumn>
    <tableColumn id="6" name="ANCHO" dataDxfId="15"/>
    <tableColumn id="5" name="ALTO" dataDxfId="14"/>
    <tableColumn id="4" name="URL_COD" dataDxfId="13">
      <calculatedColumnFormula>IFERROR(VLOOKUP(DATOS_IMAGEN[NOMBRE IMAGEN],INDIRECT("TABLA_"&amp;D4),3,0),INDIRECT("Z_CI_16_" &amp;IDIOMA)&amp;D4)</calculatedColumnFormula>
    </tableColumn>
  </tableColumns>
  <tableStyleInfo name="Estilo de tabla nuevo" showFirstColumn="1" showLastColumn="0" showRowStripes="0" showColumnStripes="1"/>
</table>
</file>

<file path=xl/tables/table3.xml><?xml version="1.0" encoding="utf-8"?>
<table xmlns="http://schemas.openxmlformats.org/spreadsheetml/2006/main" id="6" name="TABLA_TEMAS" displayName="TABLA_TEMAS" ref="B3:B6" totalsRowShown="0" headerRowDxfId="12" dataDxfId="11" tableBorderDxfId="10">
  <autoFilter ref="B3:B6">
    <filterColumn colId="0" hiddenButton="1"/>
  </autoFilter>
  <sortState ref="B4:B6">
    <sortCondition ref="B6"/>
  </sortState>
  <tableColumns count="1">
    <tableColumn id="1" name="TEMA" dataDxfId="9"/>
  </tableColumns>
  <tableStyleInfo name="Estilo de tabla nuevo" showFirstColumn="1" showLastColumn="0" showRowStripes="1" showColumnStripes="0"/>
</table>
</file>

<file path=xl/tables/table4.xml><?xml version="1.0" encoding="utf-8"?>
<table xmlns="http://schemas.openxmlformats.org/spreadsheetml/2006/main" id="2" name="TABLA_PERSONAJES" displayName="TABLA_PERSONAJES" ref="B2:E12" totalsRowShown="0" headerRowDxfId="8" headerRowBorderDxfId="7" tableBorderDxfId="6">
  <autoFilter ref="B2:E12">
    <filterColumn colId="0" hiddenButton="1"/>
    <filterColumn colId="1" hiddenButton="1"/>
    <filterColumn colId="2" hiddenButton="1"/>
    <filterColumn colId="3" hiddenButton="1"/>
  </autoFilter>
  <tableColumns count="4">
    <tableColumn id="1" name="PERSONAJES"/>
    <tableColumn id="2" name="IMAGEN"/>
    <tableColumn id="3" name="URL / LATEX "/>
    <tableColumn id="4" name="DESCRIPCIÓN"/>
  </tableColumns>
  <tableStyleInfo name="Estilo de tabla nuevo" showFirstColumn="0" showLastColumn="0" showRowStripes="1" showColumnStripes="0"/>
</table>
</file>

<file path=xl/tables/table5.xml><?xml version="1.0" encoding="utf-8"?>
<table xmlns="http://schemas.openxmlformats.org/spreadsheetml/2006/main" id="1" name="TABLA_T_FORMULAS" displayName="TABLA_T_FORMULAS" ref="B2:E4" totalsRowShown="0" headerRowDxfId="5" headerRowBorderDxfId="4" tableBorderDxfId="3">
  <autoFilter ref="B2:E4">
    <filterColumn colId="0" hiddenButton="1"/>
    <filterColumn colId="1" hiddenButton="1"/>
    <filterColumn colId="2" hiddenButton="1"/>
    <filterColumn colId="3" hiddenButton="1"/>
  </autoFilter>
  <tableColumns count="4">
    <tableColumn id="1" name="T_FORMULAS"/>
    <tableColumn id="2" name="IMAGEN"/>
    <tableColumn id="3" name="URL / LATEX "/>
    <tableColumn id="4" name="DESCRIPCIÓN"/>
  </tableColumns>
  <tableStyleInfo name="Estilo de tabla nuevo" showFirstColumn="0" showLastColumn="0" showRowStripes="1" showColumnStripes="0"/>
</table>
</file>

<file path=xl/tables/table6.xml><?xml version="1.0" encoding="utf-8"?>
<table xmlns="http://schemas.openxmlformats.org/spreadsheetml/2006/main" id="4" name="TABLA_T_TEXTO_EN_IMAGEN" displayName="TABLA_T_TEXTO_EN_IMAGEN" ref="B2:E6" totalsRowShown="0" headerRowDxfId="2" headerRowBorderDxfId="1" tableBorderDxfId="0">
  <autoFilter ref="B2:E6">
    <filterColumn colId="0" hiddenButton="1"/>
    <filterColumn colId="1" hiddenButton="1"/>
    <filterColumn colId="2" hiddenButton="1"/>
    <filterColumn colId="3" hiddenButton="1"/>
  </autoFilter>
  <tableColumns count="4">
    <tableColumn id="1" name="T_TEXTO_EN_IMAGEN"/>
    <tableColumn id="2" name="IMAGEN"/>
    <tableColumn id="3" name="URL / LATEX "/>
    <tableColumn id="4" name="DESCRIPCIÓN"/>
  </tableColumns>
  <tableStyleInfo name="Estilo de tabla nuev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_0"/>
  <dimension ref="A1:M68"/>
  <sheetViews>
    <sheetView showGridLines="0" showRowColHeaders="0" topLeftCell="D1" zoomScale="162" zoomScaleNormal="162" workbookViewId="0">
      <pane ySplit="2" topLeftCell="A3" activePane="bottomLeft" state="frozen"/>
      <selection pane="bottomLeft" activeCell="D3" sqref="D3"/>
    </sheetView>
  </sheetViews>
  <sheetFormatPr baseColWidth="10" defaultColWidth="0" defaultRowHeight="15" outlineLevelRow="1" outlineLevelCol="1" x14ac:dyDescent="0.25"/>
  <cols>
    <col min="1" max="1" width="9.140625" style="60" hidden="1" customWidth="1" outlineLevel="1"/>
    <col min="2" max="3" width="4.7109375" style="60" hidden="1" customWidth="1" outlineLevel="1"/>
    <col min="4" max="4" width="65.7109375" style="60" customWidth="1" collapsed="1"/>
    <col min="5" max="5" width="65.7109375" style="60" customWidth="1"/>
    <col min="6" max="12" width="25.7109375" style="60" hidden="1" customWidth="1" outlineLevel="1"/>
    <col min="13" max="13" width="2.7109375" style="60" customWidth="1" collapsed="1"/>
    <col min="14" max="16384" width="11.42578125" style="60" hidden="1"/>
  </cols>
  <sheetData>
    <row r="1" spans="1:13" ht="30" customHeight="1" thickBot="1" x14ac:dyDescent="0.3">
      <c r="A1" s="11" t="s">
        <v>12</v>
      </c>
      <c r="B1" s="12"/>
      <c r="C1" s="13"/>
      <c r="D1" s="14" t="str">
        <f ca="1">INDIRECT("Z_IN_00_"&amp;IDIOMA)</f>
        <v>INICIO</v>
      </c>
      <c r="E1" s="15" t="str">
        <f>LANGUAGE</f>
        <v>ESPAÑOL</v>
      </c>
      <c r="F1" s="16" t="str">
        <f>INICIO!A39</f>
        <v>ESPAÑOL</v>
      </c>
      <c r="G1" s="16" t="str">
        <f>INICIO!A40</f>
        <v>ENGLISH</v>
      </c>
      <c r="H1" s="16" t="str">
        <f>INICIO!A41</f>
        <v>FRANÇAIS</v>
      </c>
      <c r="I1" s="16" t="str">
        <f>INICIO!A42</f>
        <v>PORTUGUÊS</v>
      </c>
      <c r="J1" s="16" t="str">
        <f>INICIO!A43</f>
        <v>ITALIEN</v>
      </c>
      <c r="K1" s="16" t="str">
        <f>INICIO!A44</f>
        <v>DEUTSCH</v>
      </c>
      <c r="L1" s="16" t="s">
        <v>13</v>
      </c>
      <c r="M1" s="17"/>
    </row>
    <row r="2" spans="1:13" ht="30" customHeight="1" thickBot="1" x14ac:dyDescent="0.3">
      <c r="A2" s="11"/>
      <c r="B2" s="12"/>
      <c r="C2" s="12"/>
      <c r="D2" s="18" t="str">
        <f>"LINK "&amp;INICIO!A45</f>
        <v>LINK PERSONALIZAR DICCIONARIO</v>
      </c>
      <c r="E2" s="19" t="s">
        <v>14</v>
      </c>
      <c r="F2" s="20" t="s">
        <v>15</v>
      </c>
      <c r="G2" s="20" t="s">
        <v>16</v>
      </c>
      <c r="H2" s="20" t="s">
        <v>17</v>
      </c>
      <c r="I2" s="20" t="s">
        <v>18</v>
      </c>
      <c r="J2" s="20" t="s">
        <v>19</v>
      </c>
      <c r="K2" s="20" t="s">
        <v>20</v>
      </c>
      <c r="L2" s="20"/>
      <c r="M2" s="17"/>
    </row>
    <row r="3" spans="1:13" x14ac:dyDescent="0.25">
      <c r="A3" s="21" t="str">
        <f t="shared" ref="A3:A11" si="0">$A$1&amp;B3&amp;"_"&amp;C3&amp;"_"&amp;$A$2</f>
        <v>Z_IN_00_</v>
      </c>
      <c r="B3" s="21" t="s">
        <v>21</v>
      </c>
      <c r="C3" s="21" t="s">
        <v>22</v>
      </c>
      <c r="D3" s="124"/>
      <c r="E3" s="22" t="str">
        <f>IFERROR(HLOOKUP(IDIOMA,$F$2:K3,ROW(D3)-1,0),IF(D3&lt;&gt;"",D3,F3))</f>
        <v>INICIO</v>
      </c>
      <c r="F3" s="22" t="s">
        <v>23</v>
      </c>
      <c r="G3" s="22" t="s">
        <v>24</v>
      </c>
      <c r="H3" s="22" t="s">
        <v>25</v>
      </c>
      <c r="I3" s="22" t="s">
        <v>26</v>
      </c>
      <c r="J3" s="22" t="s">
        <v>24</v>
      </c>
      <c r="K3" s="22" t="s">
        <v>27</v>
      </c>
      <c r="L3" s="22" t="str">
        <f t="shared" ref="L3:L13" si="1">F3</f>
        <v>INICIO</v>
      </c>
      <c r="M3" s="17" t="s">
        <v>4</v>
      </c>
    </row>
    <row r="4" spans="1:13" outlineLevel="1" x14ac:dyDescent="0.25">
      <c r="A4" s="23" t="str">
        <f t="shared" si="0"/>
        <v>Z_IN_01_</v>
      </c>
      <c r="B4" s="23" t="str">
        <f>$B$3</f>
        <v>IN</v>
      </c>
      <c r="C4" s="23" t="s">
        <v>28</v>
      </c>
      <c r="D4" s="125"/>
      <c r="E4" s="24" t="str">
        <f>IFERROR(HLOOKUP(IDIOMA,$F$2:K4,ROW(D4)-1,0),IF(D4&lt;&gt;"",D4,F4))</f>
        <v>CONSULTAR IMAGEN</v>
      </c>
      <c r="F4" s="24" t="s">
        <v>113</v>
      </c>
      <c r="G4" s="24" t="s">
        <v>175</v>
      </c>
      <c r="H4" s="24" t="s">
        <v>185</v>
      </c>
      <c r="I4" s="24" t="s">
        <v>162</v>
      </c>
      <c r="J4" s="24" t="s">
        <v>169</v>
      </c>
      <c r="K4" s="24" t="s">
        <v>192</v>
      </c>
      <c r="L4" s="24" t="str">
        <f t="shared" si="1"/>
        <v>CONSULTAR IMAGEN</v>
      </c>
      <c r="M4" s="17" t="s">
        <v>4</v>
      </c>
    </row>
    <row r="5" spans="1:13" outlineLevel="1" x14ac:dyDescent="0.25">
      <c r="A5" s="25" t="str">
        <f t="shared" si="0"/>
        <v>Z_IN_02_</v>
      </c>
      <c r="B5" s="25" t="str">
        <f t="shared" ref="B5:B13" si="2">$B$3</f>
        <v>IN</v>
      </c>
      <c r="C5" s="25" t="s">
        <v>29</v>
      </c>
      <c r="D5" s="126"/>
      <c r="E5" s="27" t="str">
        <f>IFERROR(HLOOKUP(IDIOMA,$F$2:K5,ROW(D5)-1,0),IF(D5&lt;&gt;"",D5,F5))</f>
        <v>VIDEO TUTORIAL</v>
      </c>
      <c r="F5" s="27" t="s">
        <v>278</v>
      </c>
      <c r="G5" s="27" t="s">
        <v>278</v>
      </c>
      <c r="H5" s="27" t="s">
        <v>279</v>
      </c>
      <c r="I5" s="27" t="s">
        <v>278</v>
      </c>
      <c r="J5" s="27" t="s">
        <v>278</v>
      </c>
      <c r="K5" s="27" t="s">
        <v>278</v>
      </c>
      <c r="L5" s="27" t="str">
        <f t="shared" si="1"/>
        <v>VIDEO TUTORIAL</v>
      </c>
      <c r="M5" s="17" t="s">
        <v>4</v>
      </c>
    </row>
    <row r="6" spans="1:13" outlineLevel="1" x14ac:dyDescent="0.25">
      <c r="A6" s="23" t="str">
        <f t="shared" si="0"/>
        <v>Z_IN_03_</v>
      </c>
      <c r="B6" s="23" t="str">
        <f t="shared" si="2"/>
        <v>IN</v>
      </c>
      <c r="C6" s="23" t="s">
        <v>42</v>
      </c>
      <c r="D6" s="129"/>
      <c r="E6" s="24" t="str">
        <f>IFERROR(HLOOKUP(IDIOMA,$F$2:K6,ROW(D6)-1,0),IF(D6&lt;&gt;"",D6,F6))</f>
        <v>NO FUNCIONA CON
VERSIONES DE EXCEL 
ANTERIORES A 2007</v>
      </c>
      <c r="F6" s="24" t="s">
        <v>281</v>
      </c>
      <c r="G6" s="24" t="s">
        <v>282</v>
      </c>
      <c r="H6" s="24" t="s">
        <v>283</v>
      </c>
      <c r="I6" s="24" t="s">
        <v>284</v>
      </c>
      <c r="J6" s="24" t="s">
        <v>285</v>
      </c>
      <c r="K6" s="24" t="s">
        <v>286</v>
      </c>
      <c r="L6" s="24" t="str">
        <f t="shared" si="1"/>
        <v>NO FUNCIONA CON
VERSIONES DE EXCEL 
ANTERIORES A 2007</v>
      </c>
      <c r="M6" s="17" t="s">
        <v>4</v>
      </c>
    </row>
    <row r="7" spans="1:13" outlineLevel="1" x14ac:dyDescent="0.25">
      <c r="A7" s="25" t="str">
        <f t="shared" si="0"/>
        <v>Z_IN_04_</v>
      </c>
      <c r="B7" s="25" t="str">
        <f t="shared" si="2"/>
        <v>IN</v>
      </c>
      <c r="C7" s="25" t="s">
        <v>43</v>
      </c>
      <c r="D7" s="126"/>
      <c r="E7" s="27" t="str">
        <f>IFERROR(HLOOKUP(IDIOMA,$F$2:K7,ROW(D7)-1,0),IF(D7&lt;&gt;"",D7,F7))</f>
        <v>LEER CON ATENCIÓN</v>
      </c>
      <c r="F7" s="27" t="s">
        <v>44</v>
      </c>
      <c r="G7" s="27" t="s">
        <v>45</v>
      </c>
      <c r="H7" s="27" t="s">
        <v>46</v>
      </c>
      <c r="I7" s="27" t="s">
        <v>47</v>
      </c>
      <c r="J7" s="27" t="s">
        <v>48</v>
      </c>
      <c r="K7" s="27" t="s">
        <v>49</v>
      </c>
      <c r="L7" s="27" t="str">
        <f t="shared" si="1"/>
        <v>LEER CON ATENCIÓN</v>
      </c>
      <c r="M7" s="17" t="s">
        <v>4</v>
      </c>
    </row>
    <row r="8" spans="1:13" outlineLevel="1" x14ac:dyDescent="0.25">
      <c r="A8" s="23" t="str">
        <f t="shared" si="0"/>
        <v>Z_IN_05_</v>
      </c>
      <c r="B8" s="23" t="str">
        <f t="shared" si="2"/>
        <v>IN</v>
      </c>
      <c r="C8" s="23" t="s">
        <v>50</v>
      </c>
      <c r="D8" s="125"/>
      <c r="E8" s="24" t="str">
        <f>IFERROR(HLOOKUP(IDIOMA,$F$2:K8,ROW(D8)-1,0),IF(D8&lt;&gt;"",D8,F8))</f>
        <v>Esta Aplicación ha sido desarrollada, en la primera versión, por:</v>
      </c>
      <c r="F8" s="24" t="s">
        <v>51</v>
      </c>
      <c r="G8" s="24" t="s">
        <v>52</v>
      </c>
      <c r="H8" s="24" t="s">
        <v>53</v>
      </c>
      <c r="I8" s="24" t="s">
        <v>54</v>
      </c>
      <c r="J8" s="24" t="s">
        <v>55</v>
      </c>
      <c r="K8" s="24" t="s">
        <v>56</v>
      </c>
      <c r="L8" s="24" t="str">
        <f t="shared" si="1"/>
        <v>Esta Aplicación ha sido desarrollada, en la primera versión, por:</v>
      </c>
      <c r="M8" s="17" t="s">
        <v>4</v>
      </c>
    </row>
    <row r="9" spans="1:13" outlineLevel="1" x14ac:dyDescent="0.25">
      <c r="A9" s="25" t="str">
        <f t="shared" si="0"/>
        <v>Z_IN_06_</v>
      </c>
      <c r="B9" s="25" t="str">
        <f t="shared" si="2"/>
        <v>IN</v>
      </c>
      <c r="C9" s="25" t="s">
        <v>57</v>
      </c>
      <c r="D9" s="126"/>
      <c r="E9" s="27" t="str">
        <f>IFERROR(HLOOKUP(IDIOMA,$F$2:K9,ROW(D9)-1,0),IF(D9&lt;&gt;"",D9,F9))</f>
        <v>Universidad de Cádiz</v>
      </c>
      <c r="F9" s="27" t="s">
        <v>58</v>
      </c>
      <c r="G9" s="27" t="s">
        <v>59</v>
      </c>
      <c r="H9" s="27" t="s">
        <v>60</v>
      </c>
      <c r="I9" s="27" t="s">
        <v>61</v>
      </c>
      <c r="J9" s="27" t="s">
        <v>62</v>
      </c>
      <c r="K9" s="27" t="s">
        <v>63</v>
      </c>
      <c r="L9" s="27" t="str">
        <f t="shared" si="1"/>
        <v>Universidad de Cádiz</v>
      </c>
      <c r="M9" s="17" t="s">
        <v>4</v>
      </c>
    </row>
    <row r="10" spans="1:13" outlineLevel="1" x14ac:dyDescent="0.25">
      <c r="A10" s="23" t="str">
        <f t="shared" si="0"/>
        <v>Z_IN_07_</v>
      </c>
      <c r="B10" s="23" t="str">
        <f t="shared" si="2"/>
        <v>IN</v>
      </c>
      <c r="C10" s="23" t="s">
        <v>64</v>
      </c>
      <c r="D10" s="129"/>
      <c r="E10" s="24" t="str">
        <f>IFERROR(HLOOKUP(IDIOMA,$F$2:K10,ROW(D10)-1,0),IF(D10&lt;&gt;"",D10,F10))</f>
        <v>1. Esta aplicación se ha desarrollado para ayudar a almacenar tanto IMÁGENES como FÓRMULAS que se utilicen con frecuencia, de manera que se tengan ordenadas y  poder hacer uso de ellas con más facilidad.
2. El usuario final es aquel docente que use con cierta frecuencia IMÁGENES o FÓRMULAS. Para ello, deberá tenerlas en la nube.</v>
      </c>
      <c r="F10" s="24" t="s">
        <v>161</v>
      </c>
      <c r="G10" s="24" t="s">
        <v>155</v>
      </c>
      <c r="H10" s="24" t="s">
        <v>153</v>
      </c>
      <c r="I10" s="24" t="s">
        <v>159</v>
      </c>
      <c r="J10" s="24" t="s">
        <v>157</v>
      </c>
      <c r="K10" s="24" t="s">
        <v>151</v>
      </c>
      <c r="L10" s="24" t="str">
        <f t="shared" si="1"/>
        <v>1. Esta aplicación se ha desarrollado para ayudar a almacenar tanto IMÁGENES como FÓRMULAS que se utilicen con frecuencia, de manera que se tengan ordenadas y  poder hacer uso de ellas con más facilidad.
2. El usuario final es aquel docente que use con cierta frecuencia IMÁGENES o FÓRMULAS. Para ello, deberá tenerlas en la nube.</v>
      </c>
      <c r="M10" s="17" t="s">
        <v>4</v>
      </c>
    </row>
    <row r="11" spans="1:13" outlineLevel="1" x14ac:dyDescent="0.25">
      <c r="A11" s="25" t="str">
        <f t="shared" si="0"/>
        <v>Z_IN_08_</v>
      </c>
      <c r="B11" s="25" t="str">
        <f t="shared" si="2"/>
        <v>IN</v>
      </c>
      <c r="C11" s="25" t="s">
        <v>65</v>
      </c>
      <c r="D11" s="126"/>
      <c r="E11" s="27" t="str">
        <f>IFERROR(HLOOKUP(IDIOMA,$F$2:K11,ROW(D11)-1,0),IF(D11&lt;&gt;"",D11,F11))</f>
        <v>La idea principal es facilitar el uso en cualquier aplicación que las necesite. Además, también es para animar a los docentes a usarlas en sus clases y así hacerlas más dinámicas y atractivas.</v>
      </c>
      <c r="F11" s="27" t="s">
        <v>111</v>
      </c>
      <c r="G11" s="27" t="s">
        <v>156</v>
      </c>
      <c r="H11" s="27" t="s">
        <v>154</v>
      </c>
      <c r="I11" s="27" t="s">
        <v>160</v>
      </c>
      <c r="J11" s="27" t="s">
        <v>158</v>
      </c>
      <c r="K11" s="27" t="s">
        <v>152</v>
      </c>
      <c r="L11" s="27" t="str">
        <f t="shared" si="1"/>
        <v>La idea principal es facilitar el uso en cualquier aplicación que las necesite. Además, también es para animar a los docentes a usarlas en sus clases y así hacerlas más dinámicas y atractivas.</v>
      </c>
      <c r="M11" s="17" t="s">
        <v>4</v>
      </c>
    </row>
    <row r="12" spans="1:13" outlineLevel="1" x14ac:dyDescent="0.25">
      <c r="A12" s="23" t="str">
        <f>$A$1&amp;B12&amp;"_"&amp;C12&amp;"_"&amp;$A$2</f>
        <v>Z_IN_09_</v>
      </c>
      <c r="B12" s="23" t="str">
        <f t="shared" si="2"/>
        <v>IN</v>
      </c>
      <c r="C12" s="23" t="s">
        <v>66</v>
      </c>
      <c r="D12" s="125"/>
      <c r="E12" s="24" t="str">
        <f>IFERROR(HLOOKUP(IDIOMA,$F$2:K12,ROW(D12)-1,0),IF(D12&lt;&gt;"",D12,F12))</f>
        <v>ÍNDICE</v>
      </c>
      <c r="F12" s="24" t="s">
        <v>67</v>
      </c>
      <c r="G12" s="24" t="s">
        <v>68</v>
      </c>
      <c r="H12" s="24" t="s">
        <v>69</v>
      </c>
      <c r="I12" s="24" t="s">
        <v>67</v>
      </c>
      <c r="J12" s="24" t="s">
        <v>69</v>
      </c>
      <c r="K12" s="24" t="s">
        <v>68</v>
      </c>
      <c r="L12" s="24" t="str">
        <f t="shared" si="1"/>
        <v>ÍNDICE</v>
      </c>
      <c r="M12" s="17" t="s">
        <v>4</v>
      </c>
    </row>
    <row r="13" spans="1:13" outlineLevel="1" x14ac:dyDescent="0.25">
      <c r="A13" s="25" t="str">
        <f>$A$1&amp;B13&amp;"_"&amp;C13&amp;"_"&amp;$A$2</f>
        <v>Z_IN_10_</v>
      </c>
      <c r="B13" s="25" t="str">
        <f t="shared" si="2"/>
        <v>IN</v>
      </c>
      <c r="C13" s="58">
        <v>10</v>
      </c>
      <c r="D13" s="126"/>
      <c r="E13" s="27" t="str">
        <f>IFERROR(HLOOKUP(IDIOMA,$F$2:K13,ROW(D13)-1,0),IF(D13&lt;&gt;"",D13,F13))</f>
        <v>PERSONALIZAR DICCIONARIO</v>
      </c>
      <c r="F13" s="27" t="s">
        <v>70</v>
      </c>
      <c r="G13" s="27" t="s">
        <v>71</v>
      </c>
      <c r="H13" s="27" t="s">
        <v>72</v>
      </c>
      <c r="I13" s="27" t="s">
        <v>73</v>
      </c>
      <c r="J13" s="27" t="s">
        <v>74</v>
      </c>
      <c r="K13" s="27" t="s">
        <v>75</v>
      </c>
      <c r="L13" s="27" t="str">
        <f t="shared" si="1"/>
        <v>PERSONALIZAR DICCIONARIO</v>
      </c>
      <c r="M13" s="17" t="s">
        <v>4</v>
      </c>
    </row>
    <row r="14" spans="1:13" s="17" customFormat="1" x14ac:dyDescent="0.25">
      <c r="A14" s="21" t="str">
        <f>$A$1&amp;B14&amp;"_"&amp;C14&amp;"_"&amp;$A$2</f>
        <v>Z_CI_00_</v>
      </c>
      <c r="B14" s="21" t="s">
        <v>114</v>
      </c>
      <c r="C14" s="21" t="s">
        <v>22</v>
      </c>
      <c r="D14" s="124"/>
      <c r="E14" s="22" t="str">
        <f>IFERROR(HLOOKUP(IDIOMA,$F$2:K14,ROW(D14)-1,0),IF(D14&lt;&gt;"",D14,F14))</f>
        <v>CONSULTAR IMAGEN</v>
      </c>
      <c r="F14" s="22" t="s">
        <v>113</v>
      </c>
      <c r="G14" s="22" t="s">
        <v>175</v>
      </c>
      <c r="H14" s="22" t="s">
        <v>185</v>
      </c>
      <c r="I14" s="22" t="s">
        <v>162</v>
      </c>
      <c r="J14" s="22" t="s">
        <v>169</v>
      </c>
      <c r="K14" s="22" t="s">
        <v>192</v>
      </c>
      <c r="L14" s="22" t="str">
        <f t="shared" ref="L14:L32" si="3">F14</f>
        <v>CONSULTAR IMAGEN</v>
      </c>
      <c r="M14" s="17" t="s">
        <v>4</v>
      </c>
    </row>
    <row r="15" spans="1:13" s="17" customFormat="1" outlineLevel="1" x14ac:dyDescent="0.25">
      <c r="A15" s="23" t="str">
        <f t="shared" ref="A15:A20" si="4">$A$1&amp;B15&amp;"_"&amp;C15&amp;"_"&amp;$A$2</f>
        <v>Z_CI_01_</v>
      </c>
      <c r="B15" s="23" t="str">
        <f t="shared" ref="B15:B40" si="5">B14</f>
        <v>CI</v>
      </c>
      <c r="C15" s="23" t="s">
        <v>28</v>
      </c>
      <c r="D15" s="125"/>
      <c r="E15" s="24" t="str">
        <f>IFERROR(HLOOKUP(IDIOMA,$F$2:K15,ROW(D15)-1,0),IF(D15&lt;&gt;"",D15,F15))</f>
        <v>Ir a INICIO</v>
      </c>
      <c r="F15" s="24" t="s">
        <v>103</v>
      </c>
      <c r="G15" s="24" t="s">
        <v>176</v>
      </c>
      <c r="H15" s="24" t="s">
        <v>329</v>
      </c>
      <c r="I15" s="24" t="s">
        <v>163</v>
      </c>
      <c r="J15" s="24" t="s">
        <v>170</v>
      </c>
      <c r="K15" s="24" t="s">
        <v>328</v>
      </c>
      <c r="L15" s="24" t="str">
        <f t="shared" si="3"/>
        <v>Ir a INICIO</v>
      </c>
      <c r="M15" s="17" t="s">
        <v>4</v>
      </c>
    </row>
    <row r="16" spans="1:13" s="17" customFormat="1" outlineLevel="1" x14ac:dyDescent="0.25">
      <c r="A16" s="25" t="str">
        <f t="shared" si="4"/>
        <v>Z_CI_02_</v>
      </c>
      <c r="B16" s="25" t="str">
        <f t="shared" si="5"/>
        <v>CI</v>
      </c>
      <c r="C16" s="25" t="s">
        <v>29</v>
      </c>
      <c r="D16" s="126"/>
      <c r="E16" s="27" t="str">
        <f>IFERROR(HLOOKUP(IDIOMA,$F$2:K16,ROW(D16)-1,0),IF(D16&lt;&gt;"",D16,F16))</f>
        <v>NUEVO TEMA</v>
      </c>
      <c r="F16" s="27" t="s">
        <v>119</v>
      </c>
      <c r="G16" s="27" t="s">
        <v>177</v>
      </c>
      <c r="H16" s="27" t="s">
        <v>408</v>
      </c>
      <c r="I16" s="27" t="s">
        <v>418</v>
      </c>
      <c r="J16" s="27" t="s">
        <v>426</v>
      </c>
      <c r="K16" s="27" t="s">
        <v>193</v>
      </c>
      <c r="L16" s="27" t="str">
        <f t="shared" si="3"/>
        <v>NUEVO TEMA</v>
      </c>
      <c r="M16" s="17" t="s">
        <v>4</v>
      </c>
    </row>
    <row r="17" spans="1:13" s="17" customFormat="1" outlineLevel="1" x14ac:dyDescent="0.25">
      <c r="A17" s="23" t="str">
        <f t="shared" si="4"/>
        <v>Z_CI_03_</v>
      </c>
      <c r="B17" s="23" t="str">
        <f t="shared" si="5"/>
        <v>CI</v>
      </c>
      <c r="C17" s="23" t="s">
        <v>42</v>
      </c>
      <c r="D17" s="125"/>
      <c r="E17" s="24" t="str">
        <f>IFERROR(HLOOKUP(IDIOMA,$F$2:K17,ROW(D17)-1,0),IF(D17&lt;&gt;"",D17,F17))</f>
        <v xml:space="preserve">IR A TEMA: </v>
      </c>
      <c r="F17" s="24" t="s">
        <v>120</v>
      </c>
      <c r="G17" s="24" t="s">
        <v>178</v>
      </c>
      <c r="H17" s="24" t="s">
        <v>409</v>
      </c>
      <c r="I17" s="24" t="s">
        <v>419</v>
      </c>
      <c r="J17" s="24" t="s">
        <v>427</v>
      </c>
      <c r="K17" s="24" t="s">
        <v>194</v>
      </c>
      <c r="L17" s="24" t="str">
        <f t="shared" si="3"/>
        <v xml:space="preserve">IR A TEMA: </v>
      </c>
      <c r="M17" s="17" t="s">
        <v>4</v>
      </c>
    </row>
    <row r="18" spans="1:13" s="17" customFormat="1" outlineLevel="1" x14ac:dyDescent="0.25">
      <c r="A18" s="25" t="str">
        <f t="shared" si="4"/>
        <v>Z_CI_04_</v>
      </c>
      <c r="B18" s="25" t="str">
        <f t="shared" si="5"/>
        <v>CI</v>
      </c>
      <c r="C18" s="25" t="s">
        <v>43</v>
      </c>
      <c r="D18" s="126"/>
      <c r="E18" s="27" t="str">
        <f>IFERROR(HLOOKUP(IDIOMA,$F$2:K18,ROW(D18)-1,0),IF(D18&lt;&gt;"",D18,F18))</f>
        <v xml:space="preserve">BORRAR TEMA: </v>
      </c>
      <c r="F18" s="27" t="s">
        <v>121</v>
      </c>
      <c r="G18" s="27" t="s">
        <v>179</v>
      </c>
      <c r="H18" s="27" t="s">
        <v>410</v>
      </c>
      <c r="I18" s="27" t="s">
        <v>420</v>
      </c>
      <c r="J18" s="27" t="s">
        <v>428</v>
      </c>
      <c r="K18" s="27" t="s">
        <v>195</v>
      </c>
      <c r="L18" s="27" t="str">
        <f t="shared" si="3"/>
        <v xml:space="preserve">BORRAR TEMA: </v>
      </c>
      <c r="M18" s="17" t="s">
        <v>4</v>
      </c>
    </row>
    <row r="19" spans="1:13" s="17" customFormat="1" outlineLevel="1" x14ac:dyDescent="0.25">
      <c r="A19" s="23" t="str">
        <f t="shared" si="4"/>
        <v>Z_CI_05_</v>
      </c>
      <c r="B19" s="23" t="str">
        <f t="shared" si="5"/>
        <v>CI</v>
      </c>
      <c r="C19" s="23" t="s">
        <v>50</v>
      </c>
      <c r="D19" s="125"/>
      <c r="E19" s="24" t="str">
        <f>IFERROR(HLOOKUP(IDIOMA,$F$2:K19,ROW(D19)-1,0),IF(D19&lt;&gt;"",D19,F19))</f>
        <v>TEMA</v>
      </c>
      <c r="F19" s="24" t="s">
        <v>122</v>
      </c>
      <c r="G19" s="24" t="s">
        <v>404</v>
      </c>
      <c r="H19" s="24" t="s">
        <v>186</v>
      </c>
      <c r="I19" s="24" t="s">
        <v>122</v>
      </c>
      <c r="J19" s="24" t="s">
        <v>404</v>
      </c>
      <c r="K19" s="24" t="s">
        <v>196</v>
      </c>
      <c r="L19" s="24" t="str">
        <f t="shared" si="3"/>
        <v>TEMA</v>
      </c>
      <c r="M19" s="17" t="s">
        <v>4</v>
      </c>
    </row>
    <row r="20" spans="1:13" s="17" customFormat="1" outlineLevel="1" x14ac:dyDescent="0.25">
      <c r="A20" s="25" t="str">
        <f t="shared" si="4"/>
        <v>Z_CI_06_</v>
      </c>
      <c r="B20" s="25" t="str">
        <f t="shared" si="5"/>
        <v>CI</v>
      </c>
      <c r="C20" s="25" t="s">
        <v>57</v>
      </c>
      <c r="D20" s="126"/>
      <c r="E20" s="27" t="str">
        <f>IFERROR(HLOOKUP(IDIOMA,$F$2:K20,ROW(D20)-1,0),IF(D20&lt;&gt;"",D20,F20))</f>
        <v>TEMA IMAGEN A MOSTRAR</v>
      </c>
      <c r="F20" s="27" t="s">
        <v>118</v>
      </c>
      <c r="G20" s="27" t="s">
        <v>405</v>
      </c>
      <c r="H20" s="27" t="s">
        <v>411</v>
      </c>
      <c r="I20" s="27" t="s">
        <v>412</v>
      </c>
      <c r="J20" s="27" t="s">
        <v>429</v>
      </c>
      <c r="K20" s="27" t="s">
        <v>197</v>
      </c>
      <c r="L20" s="27" t="str">
        <f t="shared" si="3"/>
        <v>TEMA IMAGEN A MOSTRAR</v>
      </c>
      <c r="M20" s="17" t="s">
        <v>4</v>
      </c>
    </row>
    <row r="21" spans="1:13" s="17" customFormat="1" outlineLevel="1" x14ac:dyDescent="0.25">
      <c r="A21" s="23" t="str">
        <f>$A$1&amp;B21&amp;"_"&amp;C21&amp;"_"&amp;$A$2</f>
        <v>Z_CI_07_</v>
      </c>
      <c r="B21" s="23" t="str">
        <f t="shared" si="5"/>
        <v>CI</v>
      </c>
      <c r="C21" s="23" t="s">
        <v>64</v>
      </c>
      <c r="D21" s="125"/>
      <c r="E21" s="24" t="str">
        <f>IFERROR(HLOOKUP(IDIOMA,$F$2:K21,ROW(D21)-1,0),IF(D21&lt;&gt;"",D21,F21))</f>
        <v>NOMBRE IMAGEN</v>
      </c>
      <c r="F21" s="24" t="s">
        <v>123</v>
      </c>
      <c r="G21" s="24" t="s">
        <v>180</v>
      </c>
      <c r="H21" s="24" t="s">
        <v>187</v>
      </c>
      <c r="I21" s="24" t="s">
        <v>164</v>
      </c>
      <c r="J21" s="24" t="s">
        <v>171</v>
      </c>
      <c r="K21" s="24" t="s">
        <v>198</v>
      </c>
      <c r="L21" s="24" t="str">
        <f t="shared" si="3"/>
        <v>NOMBRE IMAGEN</v>
      </c>
      <c r="M21" s="17" t="s">
        <v>4</v>
      </c>
    </row>
    <row r="22" spans="1:13" s="17" customFormat="1" outlineLevel="1" x14ac:dyDescent="0.25">
      <c r="A22" s="25" t="str">
        <f>$A$1&amp;B22&amp;"_"&amp;C22&amp;"_"&amp;$A$2</f>
        <v>Z_CI_08_</v>
      </c>
      <c r="B22" s="25" t="str">
        <f t="shared" si="5"/>
        <v>CI</v>
      </c>
      <c r="C22" s="25" t="s">
        <v>65</v>
      </c>
      <c r="D22" s="126"/>
      <c r="E22" s="27" t="str">
        <f>IFERROR(HLOOKUP(IDIOMA,$F$2:K22,ROW(D22)-1,0),IF(D22&lt;&gt;"",D22,F22))</f>
        <v>ANCHO</v>
      </c>
      <c r="F22" s="27" t="s">
        <v>2</v>
      </c>
      <c r="G22" s="27" t="s">
        <v>181</v>
      </c>
      <c r="H22" s="27" t="s">
        <v>188</v>
      </c>
      <c r="I22" s="27" t="s">
        <v>165</v>
      </c>
      <c r="J22" s="27" t="s">
        <v>172</v>
      </c>
      <c r="K22" s="27" t="s">
        <v>199</v>
      </c>
      <c r="L22" s="27" t="str">
        <f t="shared" si="3"/>
        <v>ANCHO</v>
      </c>
      <c r="M22" s="17" t="s">
        <v>4</v>
      </c>
    </row>
    <row r="23" spans="1:13" s="17" customFormat="1" outlineLevel="1" x14ac:dyDescent="0.25">
      <c r="A23" s="23" t="str">
        <f>$A$1&amp;B23&amp;"_"&amp;C23&amp;"_"&amp;$A$2</f>
        <v>Z_CI_09_</v>
      </c>
      <c r="B23" s="23" t="str">
        <f t="shared" si="5"/>
        <v>CI</v>
      </c>
      <c r="C23" s="23" t="s">
        <v>66</v>
      </c>
      <c r="D23" s="125"/>
      <c r="E23" s="24" t="str">
        <f>IFERROR(HLOOKUP(IDIOMA,$F$2:K23,ROW(D23)-1,0),IF(D23&lt;&gt;"",D23,F23))</f>
        <v>ALTO</v>
      </c>
      <c r="F23" s="24" t="s">
        <v>3</v>
      </c>
      <c r="G23" s="24" t="s">
        <v>182</v>
      </c>
      <c r="H23" s="24" t="s">
        <v>189</v>
      </c>
      <c r="I23" s="24" t="s">
        <v>3</v>
      </c>
      <c r="J23" s="24" t="s">
        <v>3</v>
      </c>
      <c r="K23" s="24" t="s">
        <v>200</v>
      </c>
      <c r="L23" s="24" t="str">
        <f t="shared" si="3"/>
        <v>ALTO</v>
      </c>
      <c r="M23" s="17" t="s">
        <v>4</v>
      </c>
    </row>
    <row r="24" spans="1:13" s="17" customFormat="1" outlineLevel="1" x14ac:dyDescent="0.25">
      <c r="A24" s="25" t="str">
        <f t="shared" ref="A24:A32" si="6">$A$1&amp;B24&amp;"_"&amp;C24&amp;"_"&amp;$A$2</f>
        <v>Z_CI_10_</v>
      </c>
      <c r="B24" s="25" t="str">
        <f t="shared" si="5"/>
        <v>CI</v>
      </c>
      <c r="C24" s="25" t="s">
        <v>94</v>
      </c>
      <c r="D24" s="126"/>
      <c r="E24" s="27" t="str">
        <f>IFERROR(HLOOKUP(IDIOMA,$F$2:K24,ROW(D24)-1,0),IF(D24&lt;&gt;"",D24,F24))</f>
        <v>URL IMAGEN / CÓDIGO LÁTEX FÓRMULA</v>
      </c>
      <c r="F24" s="27" t="s">
        <v>340</v>
      </c>
      <c r="G24" s="27" t="s">
        <v>341</v>
      </c>
      <c r="H24" s="27" t="s">
        <v>342</v>
      </c>
      <c r="I24" s="27" t="s">
        <v>343</v>
      </c>
      <c r="J24" s="27" t="s">
        <v>344</v>
      </c>
      <c r="K24" s="27" t="s">
        <v>345</v>
      </c>
      <c r="L24" s="27" t="str">
        <f t="shared" si="3"/>
        <v>URL IMAGEN / CÓDIGO LÁTEX FÓRMULA</v>
      </c>
      <c r="M24" s="17" t="s">
        <v>4</v>
      </c>
    </row>
    <row r="25" spans="1:13" s="17" customFormat="1" outlineLevel="1" x14ac:dyDescent="0.25">
      <c r="A25" s="23" t="str">
        <f t="shared" si="6"/>
        <v>Z_CI_11_</v>
      </c>
      <c r="B25" s="23" t="str">
        <f t="shared" si="5"/>
        <v>CI</v>
      </c>
      <c r="C25" s="23" t="s">
        <v>95</v>
      </c>
      <c r="D25" s="125"/>
      <c r="E25" s="24" t="str">
        <f>IFERROR(HLOOKUP(IDIOMA,$F$2:K25,ROW(D25)-1,0),IF(D25&lt;&gt;"",D25,F25))</f>
        <v xml:space="preserve">COPIAR </v>
      </c>
      <c r="F25" s="24" t="s">
        <v>117</v>
      </c>
      <c r="G25" s="24" t="s">
        <v>183</v>
      </c>
      <c r="H25" s="24" t="s">
        <v>190</v>
      </c>
      <c r="I25" s="24" t="s">
        <v>166</v>
      </c>
      <c r="J25" s="24" t="s">
        <v>173</v>
      </c>
      <c r="K25" s="24" t="s">
        <v>201</v>
      </c>
      <c r="L25" s="24" t="str">
        <f t="shared" si="3"/>
        <v xml:space="preserve">COPIAR </v>
      </c>
      <c r="M25" s="17" t="s">
        <v>4</v>
      </c>
    </row>
    <row r="26" spans="1:13" s="17" customFormat="1" outlineLevel="1" x14ac:dyDescent="0.25">
      <c r="A26" s="25" t="str">
        <f t="shared" si="6"/>
        <v>Z_CI_12_</v>
      </c>
      <c r="B26" s="25" t="str">
        <f t="shared" si="5"/>
        <v>CI</v>
      </c>
      <c r="C26" s="25" t="s">
        <v>96</v>
      </c>
      <c r="D26" s="126"/>
      <c r="E26" s="27" t="str">
        <f>IFERROR(HLOOKUP(IDIOMA,$F$2:K26,ROW(D26)-1,0),IF(D26&lt;&gt;"",D26,F26))</f>
        <v>CÓDIGO PARA INCRUSTAR IMAGEN</v>
      </c>
      <c r="F26" s="27" t="s">
        <v>115</v>
      </c>
      <c r="G26" s="27" t="s">
        <v>184</v>
      </c>
      <c r="H26" s="27" t="s">
        <v>191</v>
      </c>
      <c r="I26" s="27" t="s">
        <v>167</v>
      </c>
      <c r="J26" s="27" t="s">
        <v>174</v>
      </c>
      <c r="K26" s="27" t="s">
        <v>202</v>
      </c>
      <c r="L26" s="27" t="str">
        <f t="shared" si="3"/>
        <v>CÓDIGO PARA INCRUSTAR IMAGEN</v>
      </c>
      <c r="M26" s="17" t="s">
        <v>4</v>
      </c>
    </row>
    <row r="27" spans="1:13" s="17" customFormat="1" outlineLevel="1" x14ac:dyDescent="0.25">
      <c r="A27" s="23" t="str">
        <f t="shared" si="6"/>
        <v>Z_CI_13_</v>
      </c>
      <c r="B27" s="23" t="str">
        <f t="shared" si="5"/>
        <v>CI</v>
      </c>
      <c r="C27" s="23" t="s">
        <v>97</v>
      </c>
      <c r="D27" s="125"/>
      <c r="E27" s="24" t="str">
        <f>IFERROR(HLOOKUP(IDIOMA,$F$2:K27,ROW(D27)-1,0),IF(D27&lt;&gt;"",D27,F27))</f>
        <v xml:space="preserve">INCRUSTAR IMAGEN EN HTML: </v>
      </c>
      <c r="F27" s="24" t="s">
        <v>116</v>
      </c>
      <c r="G27" s="24" t="s">
        <v>357</v>
      </c>
      <c r="H27" s="24" t="s">
        <v>358</v>
      </c>
      <c r="I27" s="24" t="s">
        <v>359</v>
      </c>
      <c r="J27" s="24" t="s">
        <v>360</v>
      </c>
      <c r="K27" s="24" t="s">
        <v>361</v>
      </c>
      <c r="L27" s="24" t="str">
        <f t="shared" si="3"/>
        <v xml:space="preserve">INCRUSTAR IMAGEN EN HTML: </v>
      </c>
      <c r="M27" s="17" t="s">
        <v>4</v>
      </c>
    </row>
    <row r="28" spans="1:13" s="17" customFormat="1" outlineLevel="1" x14ac:dyDescent="0.25">
      <c r="A28" s="25" t="str">
        <f t="shared" si="6"/>
        <v>Z_CI_14_</v>
      </c>
      <c r="B28" s="25" t="str">
        <f t="shared" si="5"/>
        <v>CI</v>
      </c>
      <c r="C28" s="25" t="s">
        <v>98</v>
      </c>
      <c r="D28" s="126"/>
      <c r="E28" s="27" t="str">
        <f>IFERROR(HLOOKUP(IDIOMA,$F$2:K28,ROW(D28)-1,0),IF(D28&lt;&gt;"",D28,F28))</f>
        <v xml:space="preserve">WEB PARA CREAR GIF: </v>
      </c>
      <c r="F28" s="27" t="s">
        <v>362</v>
      </c>
      <c r="G28" s="27" t="s">
        <v>363</v>
      </c>
      <c r="H28" s="27" t="s">
        <v>364</v>
      </c>
      <c r="I28" s="27" t="s">
        <v>365</v>
      </c>
      <c r="J28" s="27" t="s">
        <v>366</v>
      </c>
      <c r="K28" s="27" t="s">
        <v>367</v>
      </c>
      <c r="L28" s="27" t="str">
        <f t="shared" si="3"/>
        <v xml:space="preserve">WEB PARA CREAR GIF: </v>
      </c>
      <c r="M28" s="17" t="s">
        <v>4</v>
      </c>
    </row>
    <row r="29" spans="1:13" s="17" customFormat="1" outlineLevel="1" x14ac:dyDescent="0.25">
      <c r="A29" s="23" t="str">
        <f t="shared" si="6"/>
        <v>Z_CI_15_</v>
      </c>
      <c r="B29" s="23" t="str">
        <f t="shared" si="5"/>
        <v>CI</v>
      </c>
      <c r="C29" s="23" t="s">
        <v>99</v>
      </c>
      <c r="D29" s="125"/>
      <c r="E29" s="24" t="str">
        <f>IFERROR(HLOOKUP(IDIOMA,$F$2:K29,ROW(D29)-1,0),IF(D29&lt;&gt;"",D29,F29))</f>
        <v xml:space="preserve">WEB PARA CREAR FÓRMULAS EN LÁTEX: </v>
      </c>
      <c r="F29" s="24" t="s">
        <v>368</v>
      </c>
      <c r="G29" s="24" t="s">
        <v>369</v>
      </c>
      <c r="H29" s="24" t="s">
        <v>370</v>
      </c>
      <c r="I29" s="24" t="s">
        <v>371</v>
      </c>
      <c r="J29" s="24" t="s">
        <v>372</v>
      </c>
      <c r="K29" s="24" t="s">
        <v>373</v>
      </c>
      <c r="L29" s="24" t="str">
        <f t="shared" si="3"/>
        <v xml:space="preserve">WEB PARA CREAR FÓRMULAS EN LÁTEX: </v>
      </c>
      <c r="M29" s="17" t="s">
        <v>4</v>
      </c>
    </row>
    <row r="30" spans="1:13" s="17" customFormat="1" outlineLevel="1" x14ac:dyDescent="0.25">
      <c r="A30" s="25" t="str">
        <f>$A$1&amp;B30&amp;"_"&amp;C30&amp;"_"&amp;$A$2</f>
        <v>Z_CI_16_</v>
      </c>
      <c r="B30" s="25" t="str">
        <f t="shared" si="5"/>
        <v>CI</v>
      </c>
      <c r="C30" s="25" t="s">
        <v>100</v>
      </c>
      <c r="D30" s="126"/>
      <c r="E30" s="27" t="str">
        <f>IFERROR(HLOOKUP(IDIOMA,$F$2:K30,ROW(D30)-1,0),IF(D30&lt;&gt;"",D30,F30))</f>
        <v xml:space="preserve">SELECCIONA EL NOMBRE DE LA IMAGEN: </v>
      </c>
      <c r="F30" s="72" t="s">
        <v>351</v>
      </c>
      <c r="G30" s="27" t="s">
        <v>352</v>
      </c>
      <c r="H30" s="27" t="s">
        <v>353</v>
      </c>
      <c r="I30" s="27" t="s">
        <v>354</v>
      </c>
      <c r="J30" s="27" t="s">
        <v>355</v>
      </c>
      <c r="K30" s="27" t="s">
        <v>356</v>
      </c>
      <c r="L30" s="27" t="str">
        <f t="shared" si="3"/>
        <v xml:space="preserve">SELECCIONA EL NOMBRE DE LA IMAGEN: </v>
      </c>
      <c r="M30" s="17" t="s">
        <v>4</v>
      </c>
    </row>
    <row r="31" spans="1:13" s="17" customFormat="1" outlineLevel="1" x14ac:dyDescent="0.25">
      <c r="A31" s="23" t="str">
        <f>$A$1&amp;B31&amp;"_"&amp;C31&amp;"_"&amp;$A$2</f>
        <v>Z_CI_17_</v>
      </c>
      <c r="B31" s="23" t="str">
        <f>B32</f>
        <v>CI</v>
      </c>
      <c r="C31" s="59" t="s">
        <v>101</v>
      </c>
      <c r="D31" s="125"/>
      <c r="E31" s="24" t="str">
        <f>IFERROR(HLOOKUP(IDIOMA,$F$2:K32,ROW(D31)-1,0),IF(D31&lt;&gt;"",D31,F31))</f>
        <v>PULSA PARA VER LA IMAGEN</v>
      </c>
      <c r="F31" s="63" t="s">
        <v>294</v>
      </c>
      <c r="G31" s="24" t="s">
        <v>330</v>
      </c>
      <c r="H31" s="24" t="s">
        <v>331</v>
      </c>
      <c r="I31" s="24" t="s">
        <v>332</v>
      </c>
      <c r="J31" s="24" t="s">
        <v>333</v>
      </c>
      <c r="K31" s="24" t="s">
        <v>334</v>
      </c>
      <c r="L31" s="24" t="str">
        <f>F31</f>
        <v>PULSA PARA VER LA IMAGEN</v>
      </c>
      <c r="M31" s="17" t="s">
        <v>4</v>
      </c>
    </row>
    <row r="32" spans="1:13" s="17" customFormat="1" outlineLevel="1" collapsed="1" x14ac:dyDescent="0.25">
      <c r="A32" s="25" t="str">
        <f t="shared" si="6"/>
        <v>Z_CI_18_</v>
      </c>
      <c r="B32" s="25" t="str">
        <f>B33</f>
        <v>CI</v>
      </c>
      <c r="C32" s="25" t="s">
        <v>102</v>
      </c>
      <c r="D32" s="130"/>
      <c r="E32" s="27" t="str">
        <f>IFERROR(HLOOKUP(IDIOMA,$F$2:K32,ROW(D32)-1,0),IF(D32&lt;&gt;"",D32,F32))</f>
        <v>¡NO USAR CORTAR!  
  [Ctrl + X]</v>
      </c>
      <c r="F32" s="27" t="s">
        <v>143</v>
      </c>
      <c r="G32" s="27" t="s">
        <v>288</v>
      </c>
      <c r="H32" s="27" t="s">
        <v>289</v>
      </c>
      <c r="I32" s="27" t="s">
        <v>290</v>
      </c>
      <c r="J32" s="27" t="s">
        <v>291</v>
      </c>
      <c r="K32" s="27" t="s">
        <v>292</v>
      </c>
      <c r="L32" s="27" t="str">
        <f t="shared" si="3"/>
        <v>¡NO USAR CORTAR!  
  [Ctrl + X]</v>
      </c>
      <c r="M32" s="17" t="s">
        <v>4</v>
      </c>
    </row>
    <row r="33" spans="1:13" s="17" customFormat="1" outlineLevel="1" x14ac:dyDescent="0.25">
      <c r="A33" s="23" t="str">
        <f>$A$1&amp;B33&amp;"_"&amp;C33&amp;"_"&amp;$A$2</f>
        <v>Z_CI_19_</v>
      </c>
      <c r="B33" s="23" t="str">
        <f>B30</f>
        <v>CI</v>
      </c>
      <c r="C33" s="59" t="s">
        <v>104</v>
      </c>
      <c r="D33" s="125"/>
      <c r="E33" s="24" t="str">
        <f>IFERROR(HLOOKUP(IDIOMA,$F$2:K33,ROW(D33)-1,0),IF(D33&lt;&gt;"",D33,F33))</f>
        <v xml:space="preserve"> &lt;img src="URL_imagen" width="Ancho_pixels" height="Alto_pixels"&gt;</v>
      </c>
      <c r="F33" s="63" t="s">
        <v>124</v>
      </c>
      <c r="G33" s="24" t="s">
        <v>168</v>
      </c>
      <c r="H33" s="24" t="s">
        <v>168</v>
      </c>
      <c r="I33" s="24" t="s">
        <v>168</v>
      </c>
      <c r="J33" s="24" t="s">
        <v>168</v>
      </c>
      <c r="K33" s="24" t="s">
        <v>168</v>
      </c>
      <c r="L33" s="24" t="str">
        <f>F33</f>
        <v xml:space="preserve"> &lt;img src="URL_imagen" width="Ancho_pixels" height="Alto_pixels"&gt;</v>
      </c>
      <c r="M33" s="17" t="s">
        <v>4</v>
      </c>
    </row>
    <row r="34" spans="1:13" s="17" customFormat="1" outlineLevel="1" collapsed="1" x14ac:dyDescent="0.25">
      <c r="A34" s="25" t="str">
        <f t="shared" ref="A34" si="7">$A$1&amp;B34&amp;"_"&amp;C34&amp;"_"&amp;$A$2</f>
        <v>Z_CI_20_</v>
      </c>
      <c r="B34" s="25" t="str">
        <f>B36</f>
        <v>CI</v>
      </c>
      <c r="C34" s="64" t="s">
        <v>346</v>
      </c>
      <c r="D34" s="126"/>
      <c r="E34" s="27" t="str">
        <f>IFERROR(HLOOKUP(IDIOMA,$F$2:K34,ROW(D34)-1,0),IF(D34&lt;&gt;"",D34,F34))</f>
        <v>SELECCIONA TEMA</v>
      </c>
      <c r="F34" s="72" t="s">
        <v>401</v>
      </c>
      <c r="G34" s="27" t="s">
        <v>402</v>
      </c>
      <c r="H34" s="27" t="s">
        <v>413</v>
      </c>
      <c r="I34" s="27" t="s">
        <v>421</v>
      </c>
      <c r="J34" s="27" t="s">
        <v>430</v>
      </c>
      <c r="K34" s="27" t="s">
        <v>403</v>
      </c>
      <c r="L34" s="27" t="str">
        <f t="shared" ref="L34" si="8">F34</f>
        <v>SELECCIONA TEMA</v>
      </c>
      <c r="M34" s="17" t="s">
        <v>4</v>
      </c>
    </row>
    <row r="35" spans="1:13" s="17" customFormat="1" outlineLevel="1" x14ac:dyDescent="0.25">
      <c r="A35" s="23" t="str">
        <f>$A$1&amp;B35&amp;"_"&amp;C35&amp;"_"&amp;$A$2</f>
        <v>Z_CI_21_</v>
      </c>
      <c r="B35" s="23" t="str">
        <f>B32</f>
        <v>CI</v>
      </c>
      <c r="C35" s="59" t="s">
        <v>347</v>
      </c>
      <c r="D35" s="125"/>
      <c r="E35" s="24" t="str">
        <f>IFERROR(HLOOKUP(IDIOMA,$F$2:K35,ROW(D35)-1,0),IF(D35&lt;&gt;"",D35,F35))</f>
        <v>NO HAY TEMAS.</v>
      </c>
      <c r="F35" s="63" t="s">
        <v>439</v>
      </c>
      <c r="G35" s="24" t="s">
        <v>440</v>
      </c>
      <c r="H35" s="24" t="s">
        <v>441</v>
      </c>
      <c r="I35" s="24" t="s">
        <v>442</v>
      </c>
      <c r="J35" s="24" t="s">
        <v>443</v>
      </c>
      <c r="K35" s="24" t="s">
        <v>444</v>
      </c>
      <c r="L35" s="24" t="str">
        <f>F35</f>
        <v>NO HAY TEMAS.</v>
      </c>
      <c r="M35" s="17" t="s">
        <v>4</v>
      </c>
    </row>
    <row r="36" spans="1:13" s="17" customFormat="1" x14ac:dyDescent="0.25">
      <c r="A36" s="21" t="str">
        <f>$A$1&amp;B36&amp;"_"&amp;C36&amp;"_"&amp;$A$2</f>
        <v>Z_CI_00_</v>
      </c>
      <c r="B36" s="21" t="s">
        <v>114</v>
      </c>
      <c r="C36" s="21" t="s">
        <v>22</v>
      </c>
      <c r="D36" s="124"/>
      <c r="E36" s="22" t="str">
        <f>IFERROR(HLOOKUP(IDIOMA,$F$2:K36,ROW(D36)-1,0),IF(D36&lt;&gt;"",D36,F36))</f>
        <v>HOJA TIPO</v>
      </c>
      <c r="F36" s="22" t="s">
        <v>128</v>
      </c>
      <c r="G36" s="22" t="s">
        <v>213</v>
      </c>
      <c r="H36" s="22" t="s">
        <v>208</v>
      </c>
      <c r="I36" s="22" t="s">
        <v>217</v>
      </c>
      <c r="J36" s="22" t="s">
        <v>222</v>
      </c>
      <c r="K36" s="22" t="s">
        <v>203</v>
      </c>
      <c r="L36" s="22" t="str">
        <f t="shared" ref="L36:L38" si="9">F36</f>
        <v>HOJA TIPO</v>
      </c>
      <c r="M36" s="17" t="s">
        <v>4</v>
      </c>
    </row>
    <row r="37" spans="1:13" s="17" customFormat="1" outlineLevel="1" x14ac:dyDescent="0.25">
      <c r="A37" s="23" t="str">
        <f t="shared" ref="A37:A38" si="10">$A$1&amp;B37&amp;"_"&amp;C37&amp;"_"&amp;$A$2</f>
        <v>Z_HT_01_</v>
      </c>
      <c r="B37" s="23" t="s">
        <v>129</v>
      </c>
      <c r="C37" s="23" t="s">
        <v>28</v>
      </c>
      <c r="D37" s="125"/>
      <c r="E37" s="24" t="str">
        <f>IFERROR(HLOOKUP(IDIOMA,$F$2:K37,ROW(D37)-1,0),IF(D37&lt;&gt;"",D37,F37))</f>
        <v>IR A CONSULTAR IMAGEN</v>
      </c>
      <c r="F37" s="24" t="s">
        <v>5</v>
      </c>
      <c r="G37" s="24" t="s">
        <v>214</v>
      </c>
      <c r="H37" s="24" t="s">
        <v>209</v>
      </c>
      <c r="I37" s="24" t="s">
        <v>218</v>
      </c>
      <c r="J37" s="24" t="s">
        <v>223</v>
      </c>
      <c r="K37" s="24" t="s">
        <v>204</v>
      </c>
      <c r="L37" s="24" t="str">
        <f t="shared" si="9"/>
        <v>IR A CONSULTAR IMAGEN</v>
      </c>
      <c r="M37" s="17" t="s">
        <v>4</v>
      </c>
    </row>
    <row r="38" spans="1:13" s="17" customFormat="1" outlineLevel="1" x14ac:dyDescent="0.25">
      <c r="A38" s="25" t="str">
        <f t="shared" si="10"/>
        <v>Z_HT_02_</v>
      </c>
      <c r="B38" s="25" t="str">
        <f t="shared" si="5"/>
        <v>HT</v>
      </c>
      <c r="C38" s="25" t="s">
        <v>29</v>
      </c>
      <c r="D38" s="126"/>
      <c r="E38" s="27" t="str">
        <f>IFERROR(HLOOKUP(IDIOMA,$F$2:K38,ROW(D38)-1,0),IF(D38&lt;&gt;"",D38,F38))</f>
        <v>INSERTAR NUEVA IMAGEN</v>
      </c>
      <c r="F38" s="27" t="s">
        <v>130</v>
      </c>
      <c r="G38" s="27" t="s">
        <v>215</v>
      </c>
      <c r="H38" s="27" t="s">
        <v>210</v>
      </c>
      <c r="I38" s="27" t="s">
        <v>219</v>
      </c>
      <c r="J38" s="27" t="s">
        <v>224</v>
      </c>
      <c r="K38" s="27" t="s">
        <v>205</v>
      </c>
      <c r="L38" s="27" t="str">
        <f t="shared" si="9"/>
        <v>INSERTAR NUEVA IMAGEN</v>
      </c>
      <c r="M38" s="17" t="s">
        <v>4</v>
      </c>
    </row>
    <row r="39" spans="1:13" s="17" customFormat="1" outlineLevel="1" x14ac:dyDescent="0.25">
      <c r="A39" s="23" t="str">
        <f t="shared" ref="A39:A40" si="11">$A$1&amp;B39&amp;"_"&amp;C39&amp;"_"&amp;$A$2</f>
        <v>Z_HT_03_</v>
      </c>
      <c r="B39" s="23" t="str">
        <f t="shared" si="5"/>
        <v>HT</v>
      </c>
      <c r="C39" s="59" t="s">
        <v>42</v>
      </c>
      <c r="D39" s="125"/>
      <c r="E39" s="24" t="str">
        <f>IFERROR(HLOOKUP(IDIOMA,$F$2:K39,ROW(D39)-1,0),IF(D39&lt;&gt;"",D39,F39))</f>
        <v>BORRAR IMAGEN</v>
      </c>
      <c r="F39" s="24" t="s">
        <v>150</v>
      </c>
      <c r="G39" s="24" t="s">
        <v>216</v>
      </c>
      <c r="H39" s="24" t="s">
        <v>211</v>
      </c>
      <c r="I39" s="24" t="s">
        <v>220</v>
      </c>
      <c r="J39" s="24" t="s">
        <v>225</v>
      </c>
      <c r="K39" s="24" t="s">
        <v>206</v>
      </c>
      <c r="L39" s="24" t="str">
        <f t="shared" ref="L39:L40" si="12">F39</f>
        <v>BORRAR IMAGEN</v>
      </c>
      <c r="M39" s="17" t="s">
        <v>4</v>
      </c>
    </row>
    <row r="40" spans="1:13" s="17" customFormat="1" outlineLevel="1" x14ac:dyDescent="0.25">
      <c r="A40" s="25" t="str">
        <f t="shared" si="11"/>
        <v>Z_HT_04_</v>
      </c>
      <c r="B40" s="25" t="str">
        <f t="shared" si="5"/>
        <v>HT</v>
      </c>
      <c r="C40" s="64" t="s">
        <v>43</v>
      </c>
      <c r="D40" s="126"/>
      <c r="E40" s="27" t="str">
        <f>IFERROR(HLOOKUP(IDIOMA,$F$2:K40,ROW(D40)-1,0),IF(D40&lt;&gt;"",D40,F40))</f>
        <v>IMÁGENES</v>
      </c>
      <c r="F40" s="27" t="s">
        <v>9</v>
      </c>
      <c r="G40" s="27" t="s">
        <v>212</v>
      </c>
      <c r="H40" s="27" t="s">
        <v>212</v>
      </c>
      <c r="I40" s="27" t="s">
        <v>221</v>
      </c>
      <c r="J40" s="27" t="s">
        <v>226</v>
      </c>
      <c r="K40" s="27" t="s">
        <v>207</v>
      </c>
      <c r="L40" s="27" t="str">
        <f t="shared" si="12"/>
        <v>IMÁGENES</v>
      </c>
      <c r="M40" s="17" t="s">
        <v>4</v>
      </c>
    </row>
    <row r="41" spans="1:13" s="17" customFormat="1" x14ac:dyDescent="0.25">
      <c r="A41" s="21" t="str">
        <f>$A$1&amp;B41&amp;"_"&amp;C41&amp;"_"&amp;$A$2</f>
        <v>Z_TX_00_</v>
      </c>
      <c r="B41" s="21" t="s">
        <v>76</v>
      </c>
      <c r="C41" s="69" t="s">
        <v>22</v>
      </c>
      <c r="D41" s="124"/>
      <c r="E41" s="22" t="str">
        <f>IFERROR(HLOOKUP(IDIOMA,$F$2:K41,ROW(D41)-1,0),IF(D41&lt;&gt;"",D41,F41))</f>
        <v>MENSAJES MACROS</v>
      </c>
      <c r="F41" s="22" t="s">
        <v>77</v>
      </c>
      <c r="G41" s="22" t="s">
        <v>78</v>
      </c>
      <c r="H41" s="22" t="s">
        <v>77</v>
      </c>
      <c r="I41" s="22" t="s">
        <v>77</v>
      </c>
      <c r="J41" s="22" t="s">
        <v>77</v>
      </c>
      <c r="K41" s="22" t="s">
        <v>79</v>
      </c>
      <c r="L41" s="22" t="str">
        <f t="shared" ref="L41:L67" si="13">F41</f>
        <v>MENSAJES MACROS</v>
      </c>
      <c r="M41" s="17" t="s">
        <v>4</v>
      </c>
    </row>
    <row r="42" spans="1:13" s="17" customFormat="1" outlineLevel="1" x14ac:dyDescent="0.25">
      <c r="A42" s="23" t="str">
        <f>$A$1&amp;B42&amp;"_"&amp;C42&amp;"_"&amp;$A$2</f>
        <v>Z_TX_00_1_</v>
      </c>
      <c r="B42" s="23" t="str">
        <f>$B$41</f>
        <v>TX</v>
      </c>
      <c r="C42" s="59" t="s">
        <v>131</v>
      </c>
      <c r="D42" s="129"/>
      <c r="E42" s="24" t="str">
        <f>IFERROR(HLOOKUP(IDIOMA,$F$2:K42,ROW(D42)-1,0),IF(D42&lt;&gt;"",D42,F42))</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42" s="24" t="s">
        <v>80</v>
      </c>
      <c r="G42" s="24" t="str">
        <f>Z_TX_00_1_S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H42" s="24" t="str">
        <f>Z_TX_00_1_S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I42" s="24" t="str">
        <f>Z_TX_00_1_S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42" s="24" t="str">
        <f>Z_TX_00_1_S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42" s="24" t="str">
        <f>Z_TX_00_1_S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42" s="24" t="str">
        <f t="shared" si="13"/>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42" s="17" t="s">
        <v>4</v>
      </c>
    </row>
    <row r="43" spans="1:13" s="17" customFormat="1" outlineLevel="1" x14ac:dyDescent="0.25">
      <c r="A43" s="25" t="str">
        <f>$A$1&amp;B43&amp;"_"&amp;C43&amp;"_"&amp;$A$2</f>
        <v>Z_TX_00_2_</v>
      </c>
      <c r="B43" s="25" t="str">
        <f>$B$41</f>
        <v>TX</v>
      </c>
      <c r="C43" s="64" t="s">
        <v>132</v>
      </c>
      <c r="D43" s="130"/>
      <c r="E43" s="27" t="str">
        <f>IFERROR(HLOOKUP(IDIOMA,$F$2:K43,ROW(D43)-1,0),IF(D43&lt;&gt;"",D43,F43))</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43" s="27" t="s">
        <v>81</v>
      </c>
      <c r="G43" s="27" t="s">
        <v>82</v>
      </c>
      <c r="H43" s="27" t="s">
        <v>83</v>
      </c>
      <c r="I43" s="27" t="s">
        <v>84</v>
      </c>
      <c r="J43" s="27" t="s">
        <v>85</v>
      </c>
      <c r="K43" s="27" t="s">
        <v>86</v>
      </c>
      <c r="L43" s="27" t="str">
        <f t="shared" si="13"/>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43" s="17" t="s">
        <v>4</v>
      </c>
    </row>
    <row r="44" spans="1:13" s="17" customFormat="1" outlineLevel="1" x14ac:dyDescent="0.25">
      <c r="A44" s="23" t="str">
        <f>$A$1&amp;B44&amp;"_"&amp;C44&amp;"_"&amp;$A$2</f>
        <v>Z_TX_01_</v>
      </c>
      <c r="B44" s="23" t="str">
        <f>$B$41</f>
        <v>TX</v>
      </c>
      <c r="C44" s="59" t="s">
        <v>28</v>
      </c>
      <c r="D44" s="129"/>
      <c r="E44" s="24" t="str">
        <f>IFERROR(HLOOKUP(IDIOMA,$F$2:K44,ROW(D44)-1,0),IF(D44&lt;&gt;"",D44,F44))</f>
        <v>ESTA APLICACIÓN ES UNA AYUDA A OPTIMIZAR TU TIEMPO
SI ERES USUARIO DE FÓMULAS EN LÁTEX O DE IMÁGENES
NO GARANTIZA QUE COMPLETES BIEN LOS DATOS
DEBES ASEGURARTE DE INTRODUCIR BIEN LOS ENLACES
RECUERDA GUARDAR UNA COPIA DE SEGURIDAD   
_______________________________________________________ 
¡ESPERO QUE TE SEA DE UTILIDAD!      
_______________________________________________________</v>
      </c>
      <c r="F44" s="24" t="s">
        <v>293</v>
      </c>
      <c r="G44" s="24" t="s">
        <v>338</v>
      </c>
      <c r="H44" s="24" t="s">
        <v>339</v>
      </c>
      <c r="I44" s="24" t="s">
        <v>337</v>
      </c>
      <c r="J44" s="24" t="s">
        <v>336</v>
      </c>
      <c r="K44" s="24" t="s">
        <v>335</v>
      </c>
      <c r="L44" s="24" t="str">
        <f t="shared" si="13"/>
        <v>ESTA APLICACIÓN ES UNA AYUDA A OPTIMIZAR TU TIEMPO
SI ERES USUARIO DE FÓMULAS EN LÁTEX O DE IMÁGENES
NO GARANTIZA QUE COMPLETES BIEN LOS DATOS
DEBES ASEGURARTE DE INTRODUCIR BIEN LOS ENLACES
RECUERDA GUARDAR UNA COPIA DE SEGURIDAD   
_______________________________________________________ 
¡ESPERO QUE TE SEA DE UTILIDAD!      
_______________________________________________________</v>
      </c>
      <c r="M44" s="17" t="s">
        <v>4</v>
      </c>
    </row>
    <row r="45" spans="1:13" s="17" customFormat="1" outlineLevel="1" x14ac:dyDescent="0.25">
      <c r="A45" s="25" t="str">
        <f>$A$1&amp;B45&amp;"_"&amp;C45&amp;"_"&amp;$A$2</f>
        <v>Z_TX_02_</v>
      </c>
      <c r="B45" s="25" t="str">
        <f>$B$41</f>
        <v>TX</v>
      </c>
      <c r="C45" s="64" t="s">
        <v>29</v>
      </c>
      <c r="D45" s="130"/>
      <c r="E45" s="27" t="str">
        <f>IFERROR(HLOOKUP(IDIOMA,$F$2:K45,ROW(D45)-1,0),IF(D45&lt;&gt;"",D45,F45))</f>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F45" s="27" t="s">
        <v>87</v>
      </c>
      <c r="G45" s="27" t="s">
        <v>88</v>
      </c>
      <c r="H45" s="27" t="s">
        <v>89</v>
      </c>
      <c r="I45" s="27" t="s">
        <v>90</v>
      </c>
      <c r="J45" s="27" t="s">
        <v>91</v>
      </c>
      <c r="K45" s="27" t="s">
        <v>92</v>
      </c>
      <c r="L45" s="27" t="str">
        <f t="shared" si="13"/>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M45" s="17" t="s">
        <v>4</v>
      </c>
    </row>
    <row r="46" spans="1:13" s="17" customFormat="1" outlineLevel="1" x14ac:dyDescent="0.25">
      <c r="A46" s="23" t="str">
        <f t="shared" ref="A46:A48" si="14">$A$1&amp;B46&amp;"_"&amp;C46&amp;"_"&amp;$A$2</f>
        <v>Z_TX_03_</v>
      </c>
      <c r="B46" s="23" t="str">
        <f>$B$41</f>
        <v>TX</v>
      </c>
      <c r="C46" s="59" t="s">
        <v>42</v>
      </c>
      <c r="D46" s="129"/>
      <c r="E46" s="24" t="str">
        <f>IFERROR(HLOOKUP(IDIOMA,$F$2:K46,ROW(D46)-1,0),IF(D46&lt;&gt;"",D46,F46))</f>
        <v>Copia el link (Ctrl+C) y 
pega (Ctrl+V) en Internet.</v>
      </c>
      <c r="F46" s="24" t="s">
        <v>105</v>
      </c>
      <c r="G46" s="24" t="s">
        <v>106</v>
      </c>
      <c r="H46" s="24" t="s">
        <v>107</v>
      </c>
      <c r="I46" s="24" t="s">
        <v>108</v>
      </c>
      <c r="J46" s="24" t="s">
        <v>109</v>
      </c>
      <c r="K46" s="24" t="s">
        <v>110</v>
      </c>
      <c r="L46" s="24" t="str">
        <f t="shared" si="13"/>
        <v>Copia el link (Ctrl+C) y 
pega (Ctrl+V) en Internet.</v>
      </c>
      <c r="M46" s="17" t="s">
        <v>4</v>
      </c>
    </row>
    <row r="47" spans="1:13" s="17" customFormat="1" outlineLevel="1" x14ac:dyDescent="0.25">
      <c r="A47" s="25" t="str">
        <f t="shared" si="14"/>
        <v>Z_TX_04_</v>
      </c>
      <c r="B47" s="25" t="str">
        <f t="shared" ref="B47" si="15">B46</f>
        <v>TX</v>
      </c>
      <c r="C47" s="64" t="s">
        <v>43</v>
      </c>
      <c r="D47" s="130"/>
      <c r="E47" s="27" t="str">
        <f>IFERROR(HLOOKUP(IDIOMA,$F$2:K47,ROW(D47)-1,0),IF(D47&lt;&gt;"",D47,F47))</f>
        <v>Escribe el nombre del Nuevo Tema que quieres incluir.
Recuerda que no debe tener espacios en blanco.</v>
      </c>
      <c r="F47" s="27" t="s">
        <v>125</v>
      </c>
      <c r="G47" s="27" t="s">
        <v>237</v>
      </c>
      <c r="H47" s="27" t="s">
        <v>417</v>
      </c>
      <c r="I47" s="27" t="s">
        <v>422</v>
      </c>
      <c r="J47" s="27" t="s">
        <v>431</v>
      </c>
      <c r="K47" s="27" t="s">
        <v>263</v>
      </c>
      <c r="L47" s="27" t="str">
        <f t="shared" si="13"/>
        <v>Escribe el nombre del Nuevo Tema que quieres incluir.
Recuerda que no debe tener espacios en blanco.</v>
      </c>
      <c r="M47" s="17" t="s">
        <v>4</v>
      </c>
    </row>
    <row r="48" spans="1:13" s="17" customFormat="1" outlineLevel="1" x14ac:dyDescent="0.25">
      <c r="A48" s="23" t="str">
        <f t="shared" si="14"/>
        <v>Z_TX_05_</v>
      </c>
      <c r="B48" s="23" t="s">
        <v>76</v>
      </c>
      <c r="C48" s="59" t="s">
        <v>50</v>
      </c>
      <c r="D48" s="125"/>
      <c r="E48" s="24" t="str">
        <f>IFERROR(HLOOKUP(IDIOMA,$F$2:K48,ROW(D48)-1,0),IF(D48&lt;&gt;"",D48,F48))</f>
        <v xml:space="preserve">EL NOMBRE DEL NUEVO TEMA ES: </v>
      </c>
      <c r="F48" s="24" t="s">
        <v>126</v>
      </c>
      <c r="G48" s="24" t="s">
        <v>374</v>
      </c>
      <c r="H48" s="24" t="s">
        <v>416</v>
      </c>
      <c r="I48" s="24" t="s">
        <v>423</v>
      </c>
      <c r="J48" s="24" t="s">
        <v>432</v>
      </c>
      <c r="K48" s="24" t="s">
        <v>437</v>
      </c>
      <c r="L48" s="24" t="str">
        <f t="shared" si="13"/>
        <v xml:space="preserve">EL NOMBRE DEL NUEVO TEMA ES: </v>
      </c>
      <c r="M48" s="17" t="s">
        <v>4</v>
      </c>
    </row>
    <row r="49" spans="1:13" s="17" customFormat="1" outlineLevel="1" x14ac:dyDescent="0.25">
      <c r="A49" s="25" t="str">
        <f t="shared" ref="A49:A50" si="16">$A$1&amp;B49&amp;"_"&amp;C49&amp;"_"&amp;$A$2</f>
        <v>Z_TX_06_</v>
      </c>
      <c r="B49" s="25" t="s">
        <v>76</v>
      </c>
      <c r="C49" s="64" t="s">
        <v>57</v>
      </c>
      <c r="D49" s="126"/>
      <c r="E49" s="27" t="str">
        <f>IFERROR(HLOOKUP(IDIOMA,$F$2:K49,ROW(D49)-1,0),IF(D49&lt;&gt;"",D49,F49))</f>
        <v>YA EXISTE, ESCRIBE OTRO NOMBRE DIFERENTE.</v>
      </c>
      <c r="F49" s="27" t="s">
        <v>127</v>
      </c>
      <c r="G49" s="27" t="s">
        <v>238</v>
      </c>
      <c r="H49" s="27" t="s">
        <v>255</v>
      </c>
      <c r="I49" s="27" t="s">
        <v>246</v>
      </c>
      <c r="J49" s="27" t="s">
        <v>227</v>
      </c>
      <c r="K49" s="27" t="s">
        <v>264</v>
      </c>
      <c r="L49" s="27" t="str">
        <f t="shared" si="13"/>
        <v>YA EXISTE, ESCRIBE OTRO NOMBRE DIFERENTE.</v>
      </c>
      <c r="M49" s="17" t="s">
        <v>4</v>
      </c>
    </row>
    <row r="50" spans="1:13" s="17" customFormat="1" outlineLevel="1" x14ac:dyDescent="0.25">
      <c r="A50" s="23" t="str">
        <f t="shared" si="16"/>
        <v>Z_TX_07_</v>
      </c>
      <c r="B50" s="23" t="s">
        <v>76</v>
      </c>
      <c r="C50" s="59" t="s">
        <v>64</v>
      </c>
      <c r="D50" s="125"/>
      <c r="E50" s="24" t="str">
        <f>IFERROR(HLOOKUP(IDIOMA,$F$2:K50,ROW(D50)-1,0),IF(D50&lt;&gt;"",D50,F50))</f>
        <v>NO HAY TEMA SELECIONADO</v>
      </c>
      <c r="F50" s="24" t="s">
        <v>140</v>
      </c>
      <c r="G50" s="24" t="s">
        <v>406</v>
      </c>
      <c r="H50" s="24" t="s">
        <v>256</v>
      </c>
      <c r="I50" s="24" t="s">
        <v>247</v>
      </c>
      <c r="J50" s="24" t="s">
        <v>433</v>
      </c>
      <c r="K50" s="24" t="s">
        <v>265</v>
      </c>
      <c r="L50" s="24" t="str">
        <f t="shared" si="13"/>
        <v>NO HAY TEMA SELECIONADO</v>
      </c>
      <c r="M50" s="17" t="s">
        <v>4</v>
      </c>
    </row>
    <row r="51" spans="1:13" s="17" customFormat="1" outlineLevel="1" x14ac:dyDescent="0.25">
      <c r="A51" s="25" t="str">
        <f t="shared" ref="A51:A52" si="17">$A$1&amp;B51&amp;"_"&amp;C51&amp;"_"&amp;$A$2</f>
        <v>Z_TX_08_</v>
      </c>
      <c r="B51" s="25" t="s">
        <v>76</v>
      </c>
      <c r="C51" s="64" t="s">
        <v>65</v>
      </c>
      <c r="D51" s="126"/>
      <c r="E51" s="27" t="str">
        <f>IFERROR(HLOOKUP(IDIOMA,$F$2:K51,ROW(D51)-1,0),IF(D51&lt;&gt;"",D51,F51))</f>
        <v xml:space="preserve">¿ESTÁS SEGURO QUE QUIERES BORRAR EL TEMA </v>
      </c>
      <c r="F51" s="27" t="s">
        <v>133</v>
      </c>
      <c r="G51" s="27" t="s">
        <v>375</v>
      </c>
      <c r="H51" s="27" t="s">
        <v>415</v>
      </c>
      <c r="I51" s="27" t="s">
        <v>424</v>
      </c>
      <c r="J51" s="27" t="s">
        <v>434</v>
      </c>
      <c r="K51" s="27" t="s">
        <v>376</v>
      </c>
      <c r="L51" s="27" t="str">
        <f t="shared" si="13"/>
        <v xml:space="preserve">¿ESTÁS SEGURO QUE QUIERES BORRAR EL TEMA </v>
      </c>
      <c r="M51" s="17" t="s">
        <v>4</v>
      </c>
    </row>
    <row r="52" spans="1:13" s="17" customFormat="1" outlineLevel="1" x14ac:dyDescent="0.25">
      <c r="A52" s="23" t="str">
        <f t="shared" si="17"/>
        <v>Z_TX_09_</v>
      </c>
      <c r="B52" s="23" t="s">
        <v>76</v>
      </c>
      <c r="C52" s="59" t="s">
        <v>66</v>
      </c>
      <c r="D52" s="125"/>
      <c r="E52" s="24" t="str">
        <f>IFERROR(HLOOKUP(IDIOMA,$F$2:K52,ROW(D52)-1,0),IF(D52&lt;&gt;"",D52,F52))</f>
        <v xml:space="preserve">NO SE BORRARÁ EL TEMA </v>
      </c>
      <c r="F52" s="24" t="s">
        <v>134</v>
      </c>
      <c r="G52" s="24" t="s">
        <v>407</v>
      </c>
      <c r="H52" s="24" t="s">
        <v>377</v>
      </c>
      <c r="I52" s="24" t="s">
        <v>378</v>
      </c>
      <c r="J52" s="24" t="s">
        <v>435</v>
      </c>
      <c r="K52" s="24" t="s">
        <v>379</v>
      </c>
      <c r="L52" s="24" t="str">
        <f t="shared" si="13"/>
        <v xml:space="preserve">NO SE BORRARÁ EL TEMA </v>
      </c>
      <c r="M52" s="17" t="s">
        <v>4</v>
      </c>
    </row>
    <row r="53" spans="1:13" s="17" customFormat="1" outlineLevel="1" x14ac:dyDescent="0.25">
      <c r="A53" s="25" t="str">
        <f t="shared" ref="A53:A55" si="18">$A$1&amp;B53&amp;"_"&amp;C53&amp;"_"&amp;$A$2</f>
        <v>Z_TX_10_</v>
      </c>
      <c r="B53" s="25" t="s">
        <v>76</v>
      </c>
      <c r="C53" s="64" t="s">
        <v>94</v>
      </c>
      <c r="D53" s="130"/>
      <c r="E53" s="27" t="str">
        <f>IFERROR(HLOOKUP(IDIOMA,$F$2:K53,ROW(D53)-1,0),IF(D53&lt;&gt;"",D53,F53))</f>
        <v xml:space="preserve">COPIA EL SIGUIENTE CÓDIGO Y PÉGALO DONDE QUIERAS INCRUSTAR LA IMAGEN.
EL TAMAÑO EN PIXELES INDICADO CON EL QUE SE INCRUSTARÁ ES: </v>
      </c>
      <c r="F53" s="27" t="s">
        <v>380</v>
      </c>
      <c r="G53" s="27" t="s">
        <v>381</v>
      </c>
      <c r="H53" s="27" t="s">
        <v>382</v>
      </c>
      <c r="I53" s="27" t="s">
        <v>383</v>
      </c>
      <c r="J53" s="27" t="s">
        <v>228</v>
      </c>
      <c r="K53" s="27" t="s">
        <v>384</v>
      </c>
      <c r="L53" s="27" t="str">
        <f t="shared" si="13"/>
        <v xml:space="preserve">COPIA EL SIGUIENTE CÓDIGO Y PÉGALO DONDE QUIERAS INCRUSTAR LA IMAGEN.
EL TAMAÑO EN PIXELES INDICADO CON EL QUE SE INCRUSTARÁ ES: </v>
      </c>
      <c r="M53" s="17" t="s">
        <v>4</v>
      </c>
    </row>
    <row r="54" spans="1:13" s="17" customFormat="1" outlineLevel="1" x14ac:dyDescent="0.25">
      <c r="A54" s="23" t="str">
        <f t="shared" si="18"/>
        <v>Z_TX_11_</v>
      </c>
      <c r="B54" s="23" t="s">
        <v>76</v>
      </c>
      <c r="C54" s="59" t="s">
        <v>95</v>
      </c>
      <c r="D54" s="125"/>
      <c r="E54" s="24" t="str">
        <f>IFERROR(HLOOKUP(IDIOMA,$F$2:K54,ROW(D54)-1,0),IF(D54&lt;&gt;"",D54,F54))</f>
        <v>NO HAY URL ASOCIADA A ESTA IMAGEN</v>
      </c>
      <c r="F54" s="24" t="s">
        <v>385</v>
      </c>
      <c r="G54" s="24" t="s">
        <v>239</v>
      </c>
      <c r="H54" s="24" t="s">
        <v>257</v>
      </c>
      <c r="I54" s="24" t="s">
        <v>248</v>
      </c>
      <c r="J54" s="24" t="s">
        <v>229</v>
      </c>
      <c r="K54" s="24" t="s">
        <v>266</v>
      </c>
      <c r="L54" s="24" t="str">
        <f t="shared" si="13"/>
        <v>NO HAY URL ASOCIADA A ESTA IMAGEN</v>
      </c>
      <c r="M54" s="17" t="s">
        <v>4</v>
      </c>
    </row>
    <row r="55" spans="1:13" s="17" customFormat="1" outlineLevel="1" x14ac:dyDescent="0.25">
      <c r="A55" s="25" t="str">
        <f t="shared" si="18"/>
        <v>Z_TX_12_</v>
      </c>
      <c r="B55" s="25" t="s">
        <v>76</v>
      </c>
      <c r="C55" s="64" t="s">
        <v>96</v>
      </c>
      <c r="D55" s="126"/>
      <c r="E55" s="27" t="str">
        <f>IFERROR(HLOOKUP(IDIOMA,$F$2:K55,ROW(D55)-1,0),IF(D55&lt;&gt;"",D55,F55))</f>
        <v>COPIA EL SIGUIENTE CÓDIGO Y PÉGALO DONDE QUIERAS VER LA IMAGEN</v>
      </c>
      <c r="F55" s="27" t="s">
        <v>135</v>
      </c>
      <c r="G55" s="27" t="s">
        <v>240</v>
      </c>
      <c r="H55" s="27" t="s">
        <v>258</v>
      </c>
      <c r="I55" s="27" t="s">
        <v>249</v>
      </c>
      <c r="J55" s="27" t="s">
        <v>230</v>
      </c>
      <c r="K55" s="27" t="s">
        <v>267</v>
      </c>
      <c r="L55" s="27" t="str">
        <f t="shared" si="13"/>
        <v>COPIA EL SIGUIENTE CÓDIGO Y PÉGALO DONDE QUIERAS VER LA IMAGEN</v>
      </c>
      <c r="M55" s="17" t="s">
        <v>4</v>
      </c>
    </row>
    <row r="56" spans="1:13" s="17" customFormat="1" outlineLevel="1" x14ac:dyDescent="0.25">
      <c r="A56" s="23" t="str">
        <f t="shared" ref="A56:A57" si="19">$A$1&amp;B56&amp;"_"&amp;C56&amp;"_"&amp;$A$2</f>
        <v>Z_TX_13_</v>
      </c>
      <c r="B56" s="23" t="s">
        <v>76</v>
      </c>
      <c r="C56" s="59" t="s">
        <v>97</v>
      </c>
      <c r="D56" s="129"/>
      <c r="E56" s="24" t="str">
        <f>IFERROR(HLOOKUP(IDIOMA,$F$2:K56,ROW(D56)-1,0),IF(D56&lt;&gt;"",D56,F56))</f>
        <v>Escribe el nombre de la nueva imagen que vas a insertar.
Recuerda que no puede tener espacios en blanco.</v>
      </c>
      <c r="F56" s="24" t="s">
        <v>136</v>
      </c>
      <c r="G56" s="24" t="s">
        <v>241</v>
      </c>
      <c r="H56" s="24" t="s">
        <v>259</v>
      </c>
      <c r="I56" s="24" t="s">
        <v>250</v>
      </c>
      <c r="J56" s="24" t="s">
        <v>231</v>
      </c>
      <c r="K56" s="24" t="s">
        <v>268</v>
      </c>
      <c r="L56" s="24" t="str">
        <f t="shared" si="13"/>
        <v>Escribe el nombre de la nueva imagen que vas a insertar.
Recuerda que no puede tener espacios en blanco.</v>
      </c>
      <c r="M56" s="17" t="s">
        <v>4</v>
      </c>
    </row>
    <row r="57" spans="1:13" s="17" customFormat="1" outlineLevel="1" x14ac:dyDescent="0.25">
      <c r="A57" s="25" t="str">
        <f t="shared" si="19"/>
        <v>Z_TX_14_</v>
      </c>
      <c r="B57" s="25" t="s">
        <v>76</v>
      </c>
      <c r="C57" s="64" t="s">
        <v>98</v>
      </c>
      <c r="D57" s="126"/>
      <c r="E57" s="27" t="str">
        <f>IFERROR(HLOOKUP(IDIOMA,$F$2:K57,ROW(D57)-1,0),IF(D57&lt;&gt;"",D57,F57))</f>
        <v xml:space="preserve">EL NOMBRE DE LA NUEVA IMAGEN ES: </v>
      </c>
      <c r="F57" s="27" t="s">
        <v>137</v>
      </c>
      <c r="G57" s="27" t="s">
        <v>386</v>
      </c>
      <c r="H57" s="27" t="s">
        <v>387</v>
      </c>
      <c r="I57" s="27" t="s">
        <v>388</v>
      </c>
      <c r="J57" s="27" t="s">
        <v>389</v>
      </c>
      <c r="K57" s="27" t="s">
        <v>390</v>
      </c>
      <c r="L57" s="27" t="str">
        <f t="shared" si="13"/>
        <v xml:space="preserve">EL NOMBRE DE LA NUEVA IMAGEN ES: </v>
      </c>
      <c r="M57" s="17" t="s">
        <v>4</v>
      </c>
    </row>
    <row r="58" spans="1:13" s="17" customFormat="1" outlineLevel="1" x14ac:dyDescent="0.25">
      <c r="A58" s="23" t="str">
        <f t="shared" ref="A58:A59" si="20">$A$1&amp;B58&amp;"_"&amp;C58&amp;"_"&amp;$A$2</f>
        <v>Z_TX_15_</v>
      </c>
      <c r="B58" s="23" t="s">
        <v>76</v>
      </c>
      <c r="C58" s="59" t="s">
        <v>99</v>
      </c>
      <c r="D58" s="125"/>
      <c r="E58" s="24" t="str">
        <f>IFERROR(HLOOKUP(IDIOMA,$F$2:K58,ROW(D58)-1,0),IF(D58&lt;&gt;"",D58,F58))</f>
        <v>Para cambiar la imagen, debes pinchar sobre la IMAGEN, pulsar el BOTÓN DERECHO del ratón y CAMBIAR IMAGEN.</v>
      </c>
      <c r="F58" s="24" t="s">
        <v>138</v>
      </c>
      <c r="G58" s="24" t="s">
        <v>242</v>
      </c>
      <c r="H58" s="24" t="s">
        <v>260</v>
      </c>
      <c r="I58" s="24" t="s">
        <v>251</v>
      </c>
      <c r="J58" s="24" t="s">
        <v>232</v>
      </c>
      <c r="K58" s="24" t="s">
        <v>269</v>
      </c>
      <c r="L58" s="24" t="str">
        <f t="shared" si="13"/>
        <v>Para cambiar la imagen, debes pinchar sobre la IMAGEN, pulsar el BOTÓN DERECHO del ratón y CAMBIAR IMAGEN.</v>
      </c>
      <c r="M58" s="17" t="s">
        <v>4</v>
      </c>
    </row>
    <row r="59" spans="1:13" s="17" customFormat="1" outlineLevel="1" x14ac:dyDescent="0.25">
      <c r="A59" s="25" t="str">
        <f t="shared" si="20"/>
        <v>Z_TX_16_</v>
      </c>
      <c r="B59" s="25" t="s">
        <v>76</v>
      </c>
      <c r="C59" s="64" t="s">
        <v>100</v>
      </c>
      <c r="D59" s="126"/>
      <c r="E59" s="27" t="str">
        <f>IFERROR(HLOOKUP(IDIOMA,$F$2:K59,ROW(D59)-1,0),IF(D59&lt;&gt;"",D59,F59))</f>
        <v xml:space="preserve">¿Estás seguro de que quieres borrar la imagen Nº </v>
      </c>
      <c r="F59" s="27" t="s">
        <v>149</v>
      </c>
      <c r="G59" s="27" t="s">
        <v>391</v>
      </c>
      <c r="H59" s="27" t="s">
        <v>392</v>
      </c>
      <c r="I59" s="27" t="s">
        <v>393</v>
      </c>
      <c r="J59" s="27" t="s">
        <v>394</v>
      </c>
      <c r="K59" s="27" t="s">
        <v>395</v>
      </c>
      <c r="L59" s="27" t="str">
        <f t="shared" si="13"/>
        <v xml:space="preserve">¿Estás seguro de que quieres borrar la imagen Nº </v>
      </c>
      <c r="M59" s="17" t="s">
        <v>4</v>
      </c>
    </row>
    <row r="60" spans="1:13" s="17" customFormat="1" outlineLevel="1" x14ac:dyDescent="0.25">
      <c r="A60" s="23" t="str">
        <f t="shared" ref="A60:A65" si="21">$A$1&amp;B60&amp;"_"&amp;C60&amp;"_"&amp;$A$2</f>
        <v>Z_TX_17_</v>
      </c>
      <c r="B60" s="23" t="s">
        <v>76</v>
      </c>
      <c r="C60" s="59" t="s">
        <v>101</v>
      </c>
      <c r="D60" s="125"/>
      <c r="E60" s="24" t="str">
        <f>IFERROR(HLOOKUP(IDIOMA,$F$2:K60,ROW(D60)-1,0),IF(D60&lt;&gt;"",D60,F60))</f>
        <v xml:space="preserve">NO SE BORRARÁ LA IMAGEN </v>
      </c>
      <c r="F60" s="24" t="s">
        <v>139</v>
      </c>
      <c r="G60" s="24" t="s">
        <v>396</v>
      </c>
      <c r="H60" s="24" t="s">
        <v>397</v>
      </c>
      <c r="I60" s="24" t="s">
        <v>398</v>
      </c>
      <c r="J60" s="24" t="s">
        <v>399</v>
      </c>
      <c r="K60" s="24" t="s">
        <v>400</v>
      </c>
      <c r="L60" s="24" t="str">
        <f t="shared" si="13"/>
        <v xml:space="preserve">NO SE BORRARÁ LA IMAGEN </v>
      </c>
      <c r="M60" s="17" t="s">
        <v>4</v>
      </c>
    </row>
    <row r="61" spans="1:13" s="17" customFormat="1" outlineLevel="1" x14ac:dyDescent="0.25">
      <c r="A61" s="25" t="str">
        <f t="shared" si="21"/>
        <v>Z_TX_18_</v>
      </c>
      <c r="B61" s="25" t="s">
        <v>76</v>
      </c>
      <c r="C61" s="64" t="s">
        <v>102</v>
      </c>
      <c r="D61" s="126"/>
      <c r="E61" s="27" t="str">
        <f>IFERROR(HLOOKUP(IDIOMA,$F$2:K61,ROW(D61)-1,0),IF(D61&lt;&gt;"",D61,F61))</f>
        <v>IMAGEN</v>
      </c>
      <c r="F61" s="27" t="s">
        <v>1</v>
      </c>
      <c r="G61" s="27" t="s">
        <v>243</v>
      </c>
      <c r="H61" s="27" t="s">
        <v>243</v>
      </c>
      <c r="I61" s="27" t="s">
        <v>252</v>
      </c>
      <c r="J61" s="27" t="s">
        <v>233</v>
      </c>
      <c r="K61" s="27" t="s">
        <v>270</v>
      </c>
      <c r="L61" s="27" t="str">
        <f t="shared" si="13"/>
        <v>IMAGEN</v>
      </c>
      <c r="M61" s="17" t="s">
        <v>4</v>
      </c>
    </row>
    <row r="62" spans="1:13" s="17" customFormat="1" outlineLevel="1" x14ac:dyDescent="0.25">
      <c r="A62" s="23" t="str">
        <f t="shared" si="21"/>
        <v>Z_TX_19_</v>
      </c>
      <c r="B62" s="23" t="s">
        <v>76</v>
      </c>
      <c r="C62" s="59" t="s">
        <v>104</v>
      </c>
      <c r="D62" s="125"/>
      <c r="E62" s="24" t="str">
        <f>IFERROR(HLOOKUP(IDIOMA,$F$2:K62,ROW(D62)-1,0),IF(D62&lt;&gt;"",D62,F62))</f>
        <v>DESCRIPCIÓN</v>
      </c>
      <c r="F62" s="24" t="s">
        <v>141</v>
      </c>
      <c r="G62" s="24" t="s">
        <v>244</v>
      </c>
      <c r="H62" s="24" t="s">
        <v>261</v>
      </c>
      <c r="I62" s="24" t="s">
        <v>253</v>
      </c>
      <c r="J62" s="24" t="s">
        <v>234</v>
      </c>
      <c r="K62" s="24" t="s">
        <v>271</v>
      </c>
      <c r="L62" s="24" t="str">
        <f t="shared" si="13"/>
        <v>DESCRIPCIÓN</v>
      </c>
      <c r="M62" s="17" t="s">
        <v>4</v>
      </c>
    </row>
    <row r="63" spans="1:13" s="17" customFormat="1" outlineLevel="1" x14ac:dyDescent="0.25">
      <c r="A63" s="25" t="str">
        <f t="shared" si="21"/>
        <v>Z_TX_20_</v>
      </c>
      <c r="B63" s="25" t="s">
        <v>76</v>
      </c>
      <c r="C63" s="64" t="s">
        <v>346</v>
      </c>
      <c r="D63" s="126"/>
      <c r="E63" s="27" t="str">
        <f>IFERROR(HLOOKUP(IDIOMA,$F$2:K63,ROW(D63)-1,0),IF(D63&lt;&gt;"",D63,F63))</f>
        <v>NOMBRE_TEMA</v>
      </c>
      <c r="F63" s="27" t="s">
        <v>145</v>
      </c>
      <c r="G63" s="27" t="s">
        <v>235</v>
      </c>
      <c r="H63" s="27" t="s">
        <v>414</v>
      </c>
      <c r="I63" s="27" t="s">
        <v>425</v>
      </c>
      <c r="J63" s="27" t="s">
        <v>436</v>
      </c>
      <c r="K63" s="27" t="s">
        <v>438</v>
      </c>
      <c r="L63" s="27" t="str">
        <f t="shared" si="13"/>
        <v>NOMBRE_TEMA</v>
      </c>
      <c r="M63" s="17" t="s">
        <v>4</v>
      </c>
    </row>
    <row r="64" spans="1:13" s="17" customFormat="1" outlineLevel="1" x14ac:dyDescent="0.25">
      <c r="A64" s="23" t="str">
        <f t="shared" si="21"/>
        <v>Z_TX_21_</v>
      </c>
      <c r="B64" s="23" t="s">
        <v>76</v>
      </c>
      <c r="C64" s="59" t="s">
        <v>347</v>
      </c>
      <c r="D64" s="125"/>
      <c r="E64" s="24" t="str">
        <f>IFERROR(HLOOKUP(IDIOMA,$F$2:K64,ROW(D64)-1,0),IF(D64&lt;&gt;"",D64,F64))</f>
        <v>Indica el numero de la IMAGEN/FORMULA que quieres borrar.</v>
      </c>
      <c r="F64" s="24" t="s">
        <v>148</v>
      </c>
      <c r="G64" s="24" t="s">
        <v>245</v>
      </c>
      <c r="H64" s="24" t="s">
        <v>262</v>
      </c>
      <c r="I64" s="24" t="s">
        <v>254</v>
      </c>
      <c r="J64" s="24" t="s">
        <v>236</v>
      </c>
      <c r="K64" s="24" t="s">
        <v>272</v>
      </c>
      <c r="L64" s="24" t="str">
        <f t="shared" si="13"/>
        <v>Indica el numero de la IMAGEN/FORMULA que quieres borrar.</v>
      </c>
      <c r="M64" s="17" t="s">
        <v>4</v>
      </c>
    </row>
    <row r="65" spans="1:13" s="17" customFormat="1" outlineLevel="1" x14ac:dyDescent="0.25">
      <c r="A65" s="25" t="str">
        <f t="shared" si="21"/>
        <v>Z_TX_22_</v>
      </c>
      <c r="B65" s="25" t="s">
        <v>76</v>
      </c>
      <c r="C65" s="64" t="s">
        <v>348</v>
      </c>
      <c r="D65" s="126"/>
      <c r="E65" s="27" t="str">
        <f>IFERROR(HLOOKUP(IDIOMA,$F$2:K65,ROW(D65)-1,0),IF(D65&lt;&gt;"",D65,F65))</f>
        <v>POR DEFECTO</v>
      </c>
      <c r="F65" s="27" t="s">
        <v>13</v>
      </c>
      <c r="G65" s="27" t="s">
        <v>273</v>
      </c>
      <c r="H65" s="27" t="s">
        <v>274</v>
      </c>
      <c r="I65" s="27" t="s">
        <v>275</v>
      </c>
      <c r="J65" s="27" t="s">
        <v>276</v>
      </c>
      <c r="K65" s="27" t="s">
        <v>277</v>
      </c>
      <c r="L65" s="27" t="str">
        <f t="shared" si="13"/>
        <v>POR DEFECTO</v>
      </c>
      <c r="M65" s="17" t="s">
        <v>4</v>
      </c>
    </row>
    <row r="66" spans="1:13" s="17" customFormat="1" x14ac:dyDescent="0.25">
      <c r="A66" s="23" t="str">
        <f t="shared" ref="A66:A67" si="22">$A$1&amp;B66&amp;"_"&amp;C66&amp;"_"&amp;$A$2</f>
        <v>Z_TX_23_</v>
      </c>
      <c r="B66" s="23" t="s">
        <v>76</v>
      </c>
      <c r="C66" s="59" t="s">
        <v>349</v>
      </c>
      <c r="D66" s="127"/>
      <c r="E66" s="24">
        <f>IFERROR(HLOOKUP(IDIOMA,$F$2:K66,ROW(D66)-1,0),IF(D66&lt;&gt;"",D66,F66))</f>
        <v>0</v>
      </c>
      <c r="F66" s="24"/>
      <c r="G66" s="24"/>
      <c r="H66" s="24"/>
      <c r="I66" s="24"/>
      <c r="J66" s="24"/>
      <c r="K66" s="24"/>
      <c r="L66" s="24">
        <f t="shared" si="13"/>
        <v>0</v>
      </c>
      <c r="M66" s="17" t="s">
        <v>4</v>
      </c>
    </row>
    <row r="67" spans="1:13" s="17" customFormat="1" hidden="1" x14ac:dyDescent="0.25">
      <c r="A67" s="25" t="str">
        <f t="shared" si="22"/>
        <v>Z_TX_24_</v>
      </c>
      <c r="B67" s="25" t="s">
        <v>76</v>
      </c>
      <c r="C67" s="64" t="s">
        <v>350</v>
      </c>
      <c r="D67" s="26"/>
      <c r="E67" s="27" t="str">
        <f>IFERROR(HLOOKUP(IDIOMA,$F$2:K67,ROW(D67)-1,0),IF(D67&lt;&gt;"",D67,F67))</f>
        <v>Copia el texto (Ctrl+C), 
pulsa F2 y pega (Ctrl+V) 
para insertarlo en la celda:</v>
      </c>
      <c r="F67" s="27" t="s">
        <v>93</v>
      </c>
      <c r="G67" s="27" t="s">
        <v>106</v>
      </c>
      <c r="H67" s="27" t="s">
        <v>107</v>
      </c>
      <c r="I67" s="27" t="s">
        <v>108</v>
      </c>
      <c r="J67" s="27" t="s">
        <v>109</v>
      </c>
      <c r="K67" s="27" t="s">
        <v>110</v>
      </c>
      <c r="L67" s="27" t="str">
        <f t="shared" si="13"/>
        <v>Copia el texto (Ctrl+C), 
pulsa F2 y pega (Ctrl+V) 
para insertarlo en la celda:</v>
      </c>
      <c r="M67" s="17" t="s">
        <v>4</v>
      </c>
    </row>
    <row r="68" spans="1:13" x14ac:dyDescent="0.25">
      <c r="D68" s="123"/>
    </row>
  </sheetData>
  <sheetProtection algorithmName="SHA-512" hashValue="4kgqGOw+YcB9EVF6Haaq1mnwrwEGIcwlPcekUTMNnMnH9ieMDkKZ1e4PJeV9F7Kf6dMY7b21FOiALBMrxIF/sg==" saltValue="KMs+YlUW2o3xvRFdI8VChg==" spinCount="100000" sheet="1" objects="1" scenarios="1" selectLockedCells="1"/>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_1"/>
  <dimension ref="A1:BU46"/>
  <sheetViews>
    <sheetView showGridLines="0" showRowColHeaders="0" tabSelected="1" zoomScale="139" zoomScaleNormal="139" workbookViewId="0">
      <pane xSplit="27" ySplit="52" topLeftCell="AB53" activePane="bottomRight" state="frozen"/>
      <selection pane="topRight" activeCell="AB1" sqref="AB1"/>
      <selection pane="bottomLeft" activeCell="A53" sqref="A53"/>
      <selection pane="bottomRight" activeCell="A11" sqref="A11:A13"/>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s>
  <sheetData>
    <row r="1" spans="1:24" ht="2.25" customHeight="1" thickTop="1" x14ac:dyDescent="0.25">
      <c r="A1" s="131" t="s">
        <v>30</v>
      </c>
      <c r="B1" s="28"/>
      <c r="C1" s="29"/>
      <c r="D1" s="29"/>
      <c r="E1" s="29"/>
      <c r="F1" s="29"/>
      <c r="G1" s="134" t="s">
        <v>287</v>
      </c>
      <c r="H1" s="134"/>
      <c r="I1" s="134"/>
      <c r="J1" s="134"/>
      <c r="K1" s="134"/>
      <c r="L1" s="134"/>
      <c r="M1" s="134"/>
      <c r="N1" s="134"/>
      <c r="O1" s="134"/>
      <c r="P1" s="134"/>
      <c r="Q1" s="134"/>
      <c r="R1" s="134"/>
      <c r="S1" s="134"/>
      <c r="T1" s="30"/>
      <c r="U1" s="30"/>
      <c r="V1" s="30"/>
      <c r="W1" s="30"/>
      <c r="X1" s="31"/>
    </row>
    <row r="2" spans="1:24" ht="24.95" customHeight="1" x14ac:dyDescent="0.25">
      <c r="A2" s="132"/>
      <c r="B2" s="32"/>
      <c r="C2" s="33"/>
      <c r="D2" s="34"/>
      <c r="E2" s="34"/>
      <c r="F2" s="34"/>
      <c r="G2" s="135"/>
      <c r="H2" s="135"/>
      <c r="I2" s="135"/>
      <c r="J2" s="135"/>
      <c r="K2" s="135"/>
      <c r="L2" s="135"/>
      <c r="M2" s="135"/>
      <c r="N2" s="135"/>
      <c r="O2" s="135"/>
      <c r="P2" s="135"/>
      <c r="Q2" s="135"/>
      <c r="R2" s="135"/>
      <c r="S2" s="135"/>
      <c r="T2" s="136" t="str">
        <f ca="1">INDIRECT("Z_IN_01_"&amp;IDIOMA)</f>
        <v>CONSULTAR IMAGEN</v>
      </c>
      <c r="U2" s="136"/>
      <c r="V2" s="136"/>
      <c r="W2" s="136"/>
      <c r="X2" s="35" t="s">
        <v>31</v>
      </c>
    </row>
    <row r="3" spans="1:24" ht="2.25" customHeight="1" thickBot="1" x14ac:dyDescent="0.3">
      <c r="A3" s="132"/>
      <c r="B3" s="36"/>
      <c r="C3" s="34"/>
      <c r="D3" s="34"/>
      <c r="E3" s="34"/>
      <c r="F3" s="34"/>
      <c r="G3" s="135"/>
      <c r="H3" s="135"/>
      <c r="I3" s="135"/>
      <c r="J3" s="135"/>
      <c r="K3" s="135"/>
      <c r="L3" s="135"/>
      <c r="M3" s="135"/>
      <c r="N3" s="135"/>
      <c r="O3" s="135"/>
      <c r="P3" s="135"/>
      <c r="Q3" s="135"/>
      <c r="R3" s="135"/>
      <c r="S3" s="135"/>
      <c r="T3" s="37"/>
      <c r="U3" s="37"/>
      <c r="V3" s="37"/>
      <c r="W3" s="37"/>
      <c r="X3" s="38"/>
    </row>
    <row r="4" spans="1:24" ht="6" customHeight="1" thickTop="1" x14ac:dyDescent="0.25">
      <c r="A4" s="132"/>
      <c r="B4" s="39"/>
      <c r="C4" s="40"/>
      <c r="D4" s="40"/>
      <c r="E4" s="40"/>
      <c r="F4" s="40"/>
      <c r="G4" s="40"/>
      <c r="H4" s="40"/>
      <c r="I4" s="40"/>
      <c r="J4" s="40"/>
      <c r="K4" s="40"/>
      <c r="L4" s="40"/>
      <c r="M4" s="40"/>
      <c r="N4" s="40"/>
      <c r="O4" s="40"/>
      <c r="P4" s="40"/>
      <c r="Q4" s="40"/>
      <c r="R4" s="40"/>
      <c r="S4" s="40"/>
      <c r="T4" s="148" t="str">
        <f ca="1">INDIRECT("Z_CI_18_"&amp;IDIOMA)</f>
        <v>¡NO USAR CORTAR!  
  [Ctrl + X]</v>
      </c>
      <c r="U4" s="148"/>
      <c r="V4" s="148"/>
      <c r="W4" s="148"/>
      <c r="X4" s="41"/>
    </row>
    <row r="5" spans="1:24" ht="15" customHeight="1" x14ac:dyDescent="0.25">
      <c r="A5" s="132"/>
      <c r="B5" s="39"/>
      <c r="C5" s="137" t="str">
        <f ca="1">INDIRECT("Z_IN_03_"&amp;IDIOMA)</f>
        <v>NO FUNCIONA CON
VERSIONES DE EXCEL 
ANTERIORES A 2007</v>
      </c>
      <c r="D5" s="137"/>
      <c r="E5" s="137"/>
      <c r="F5" s="137"/>
      <c r="G5" s="40"/>
      <c r="H5" s="138" t="str">
        <f ca="1">INDIRECT("Z_IN_05_"&amp;IDIOMA)</f>
        <v>Esta Aplicación ha sido desarrollada, en la primera versión, por:</v>
      </c>
      <c r="I5" s="138"/>
      <c r="J5" s="138"/>
      <c r="K5" s="138"/>
      <c r="L5" s="138"/>
      <c r="M5" s="138"/>
      <c r="N5" s="138"/>
      <c r="O5" s="138"/>
      <c r="P5" s="138"/>
      <c r="Q5" s="138"/>
      <c r="R5" s="138"/>
      <c r="S5" s="40"/>
      <c r="T5" s="149"/>
      <c r="U5" s="149"/>
      <c r="V5" s="149"/>
      <c r="W5" s="149"/>
      <c r="X5" s="41"/>
    </row>
    <row r="6" spans="1:24" ht="6" customHeight="1" thickBot="1" x14ac:dyDescent="0.3">
      <c r="A6" s="132"/>
      <c r="B6" s="39"/>
      <c r="C6" s="137"/>
      <c r="D6" s="137"/>
      <c r="E6" s="137"/>
      <c r="F6" s="137"/>
      <c r="G6" s="40"/>
      <c r="H6" s="40"/>
      <c r="I6" s="40"/>
      <c r="J6" s="40"/>
      <c r="K6" s="40"/>
      <c r="L6" s="40"/>
      <c r="M6" s="40"/>
      <c r="N6" s="40"/>
      <c r="O6" s="40"/>
      <c r="P6" s="40"/>
      <c r="Q6" s="40"/>
      <c r="R6" s="40"/>
      <c r="S6" s="40"/>
      <c r="T6" s="150"/>
      <c r="U6" s="150"/>
      <c r="V6" s="150"/>
      <c r="W6" s="150"/>
      <c r="X6" s="41"/>
    </row>
    <row r="7" spans="1:24" ht="15.75" customHeight="1" thickTop="1" thickBot="1" x14ac:dyDescent="0.3">
      <c r="A7" s="132"/>
      <c r="B7" s="39"/>
      <c r="C7" s="137"/>
      <c r="D7" s="137"/>
      <c r="E7" s="137"/>
      <c r="F7" s="137"/>
      <c r="G7" s="139"/>
      <c r="H7" s="139"/>
      <c r="I7" s="139"/>
      <c r="J7" s="147" t="s">
        <v>32</v>
      </c>
      <c r="K7" s="147"/>
      <c r="L7" s="147"/>
      <c r="M7" s="147"/>
      <c r="N7" s="147"/>
      <c r="O7" s="147"/>
      <c r="P7" s="147"/>
      <c r="Q7" s="139"/>
      <c r="R7" s="139"/>
      <c r="S7" s="139"/>
      <c r="T7" s="40"/>
      <c r="U7" s="40"/>
      <c r="V7" s="40"/>
      <c r="W7" s="40"/>
      <c r="X7" s="41"/>
    </row>
    <row r="8" spans="1:24" ht="6" customHeight="1" thickTop="1" x14ac:dyDescent="0.25">
      <c r="A8" s="132"/>
      <c r="B8" s="39"/>
      <c r="C8" s="137"/>
      <c r="D8" s="137"/>
      <c r="E8" s="137"/>
      <c r="F8" s="137"/>
      <c r="G8" s="139"/>
      <c r="H8" s="139"/>
      <c r="I8" s="139"/>
      <c r="J8" s="40"/>
      <c r="K8" s="40"/>
      <c r="L8" s="40"/>
      <c r="M8" s="40"/>
      <c r="N8" s="40"/>
      <c r="O8" s="40"/>
      <c r="P8" s="40"/>
      <c r="Q8" s="139"/>
      <c r="R8" s="139"/>
      <c r="S8" s="139"/>
      <c r="T8" s="156" t="str">
        <f ca="1">INDIRECT("Z_IN_02_"&amp;IDIOMA)</f>
        <v>VIDEO TUTORIAL</v>
      </c>
      <c r="U8" s="156"/>
      <c r="V8" s="156"/>
      <c r="W8" s="156"/>
      <c r="X8" s="41"/>
    </row>
    <row r="9" spans="1:24" ht="15" customHeight="1" thickBot="1" x14ac:dyDescent="0.3">
      <c r="A9" s="133"/>
      <c r="B9" s="39"/>
      <c r="C9" s="137"/>
      <c r="D9" s="137"/>
      <c r="E9" s="137"/>
      <c r="F9" s="137"/>
      <c r="G9" s="139"/>
      <c r="H9" s="139"/>
      <c r="I9" s="139"/>
      <c r="J9" s="40"/>
      <c r="K9" s="138" t="str">
        <f ca="1">INDIRECT("Z_IN_06_"&amp;IDIOMA)</f>
        <v>Universidad de Cádiz</v>
      </c>
      <c r="L9" s="138"/>
      <c r="M9" s="138"/>
      <c r="N9" s="138"/>
      <c r="O9" s="138"/>
      <c r="P9" s="40"/>
      <c r="Q9" s="139"/>
      <c r="R9" s="139"/>
      <c r="S9" s="139"/>
      <c r="T9" s="157"/>
      <c r="U9" s="157"/>
      <c r="V9" s="157"/>
      <c r="W9" s="157"/>
      <c r="X9" s="41"/>
    </row>
    <row r="10" spans="1:24" ht="6" customHeight="1" thickBot="1" x14ac:dyDescent="0.3">
      <c r="B10" s="39"/>
      <c r="C10" s="40"/>
      <c r="D10" s="40"/>
      <c r="E10" s="40"/>
      <c r="F10" s="40"/>
      <c r="G10" s="139"/>
      <c r="H10" s="139"/>
      <c r="I10" s="139"/>
      <c r="J10" s="40"/>
      <c r="K10" s="40"/>
      <c r="L10" s="40"/>
      <c r="M10" s="40"/>
      <c r="N10" s="40"/>
      <c r="O10" s="40"/>
      <c r="P10" s="40"/>
      <c r="Q10" s="139"/>
      <c r="R10" s="139"/>
      <c r="S10" s="139"/>
      <c r="T10" s="158"/>
      <c r="U10" s="158"/>
      <c r="V10" s="158"/>
      <c r="W10" s="158"/>
      <c r="X10" s="41"/>
    </row>
    <row r="11" spans="1:24" ht="15.75" thickTop="1" x14ac:dyDescent="0.25">
      <c r="A11" s="140" t="s">
        <v>33</v>
      </c>
      <c r="B11" s="39"/>
      <c r="C11" s="141" t="str">
        <f ca="1">INDIRECT("Z_IN_04_"&amp;IDIOMA)</f>
        <v>LEER CON ATENCIÓN</v>
      </c>
      <c r="D11" s="141"/>
      <c r="E11" s="141"/>
      <c r="F11" s="141"/>
      <c r="G11" s="139"/>
      <c r="H11" s="139"/>
      <c r="I11" s="139"/>
      <c r="J11" s="40"/>
      <c r="K11" s="142" t="s">
        <v>34</v>
      </c>
      <c r="L11" s="142"/>
      <c r="M11" s="142"/>
      <c r="N11" s="142"/>
      <c r="O11" s="142"/>
      <c r="P11" s="42"/>
      <c r="Q11" s="139"/>
      <c r="R11" s="139"/>
      <c r="S11" s="139"/>
      <c r="T11" s="143" t="s">
        <v>112</v>
      </c>
      <c r="U11" s="143"/>
      <c r="V11" s="143"/>
      <c r="W11" s="143"/>
      <c r="X11" s="41"/>
    </row>
    <row r="12" spans="1:24" ht="6" customHeight="1" x14ac:dyDescent="0.25">
      <c r="A12" s="140"/>
      <c r="B12" s="39"/>
      <c r="C12" s="40"/>
      <c r="D12" s="40"/>
      <c r="E12" s="40"/>
      <c r="F12" s="40"/>
      <c r="G12" s="139"/>
      <c r="H12" s="139"/>
      <c r="I12" s="139"/>
      <c r="J12" s="40"/>
      <c r="K12" s="40"/>
      <c r="L12" s="40"/>
      <c r="M12" s="40"/>
      <c r="N12" s="40"/>
      <c r="O12" s="40"/>
      <c r="P12" s="40"/>
      <c r="Q12" s="139"/>
      <c r="R12" s="139"/>
      <c r="S12" s="139"/>
      <c r="T12" s="40"/>
      <c r="U12" s="40"/>
      <c r="V12" s="40"/>
      <c r="W12" s="40"/>
      <c r="X12" s="41"/>
    </row>
    <row r="13" spans="1:24" ht="15" customHeight="1" x14ac:dyDescent="0.25">
      <c r="A13" s="140"/>
      <c r="B13" s="39"/>
      <c r="C13" s="40"/>
      <c r="D13" s="144" t="str">
        <f ca="1">"
"&amp;INDIRECT("Z_IN_07_"&amp;IDIOMA)</f>
        <v xml:space="preserve">
1. Esta aplicación se ha desarrollado para ayudar a almacenar tanto IMÁGENES como FÓRMULAS que se utilicen con frecuencia, de manera que se tengan ordenadas y  poder hacer uso de ellas con más facilidad.
2. El usuario final es aquel docente que use con cierta frecuencia IMÁGENES o FÓRMULAS. Para ello, deberá tenerlas en la nube.</v>
      </c>
      <c r="E13" s="144"/>
      <c r="F13" s="144"/>
      <c r="G13" s="144"/>
      <c r="H13" s="144"/>
      <c r="I13" s="144"/>
      <c r="J13" s="144"/>
      <c r="K13" s="144"/>
      <c r="L13" s="144"/>
      <c r="M13" s="144"/>
      <c r="N13" s="144"/>
      <c r="O13" s="144"/>
      <c r="P13" s="144"/>
      <c r="Q13" s="144"/>
      <c r="R13" s="144"/>
      <c r="S13" s="144"/>
      <c r="T13" s="144"/>
      <c r="U13" s="144"/>
      <c r="V13" s="144"/>
      <c r="W13" s="144"/>
      <c r="X13" s="41"/>
    </row>
    <row r="14" spans="1:24" ht="6" customHeight="1" x14ac:dyDescent="0.25">
      <c r="B14" s="39"/>
      <c r="C14" s="40"/>
      <c r="D14" s="144"/>
      <c r="E14" s="144"/>
      <c r="F14" s="144"/>
      <c r="G14" s="144"/>
      <c r="H14" s="144"/>
      <c r="I14" s="144"/>
      <c r="J14" s="144"/>
      <c r="K14" s="144"/>
      <c r="L14" s="144"/>
      <c r="M14" s="144"/>
      <c r="N14" s="144"/>
      <c r="O14" s="144"/>
      <c r="P14" s="144"/>
      <c r="Q14" s="144"/>
      <c r="R14" s="144"/>
      <c r="S14" s="144"/>
      <c r="T14" s="144"/>
      <c r="U14" s="144"/>
      <c r="V14" s="144"/>
      <c r="W14" s="144"/>
      <c r="X14" s="41"/>
    </row>
    <row r="15" spans="1:24" x14ac:dyDescent="0.25">
      <c r="B15" s="39"/>
      <c r="C15" s="40"/>
      <c r="D15" s="144"/>
      <c r="E15" s="144"/>
      <c r="F15" s="144"/>
      <c r="G15" s="144"/>
      <c r="H15" s="144"/>
      <c r="I15" s="144"/>
      <c r="J15" s="144"/>
      <c r="K15" s="144"/>
      <c r="L15" s="144"/>
      <c r="M15" s="144"/>
      <c r="N15" s="144"/>
      <c r="O15" s="144"/>
      <c r="P15" s="144"/>
      <c r="Q15" s="144"/>
      <c r="R15" s="144"/>
      <c r="S15" s="144"/>
      <c r="T15" s="144"/>
      <c r="U15" s="144"/>
      <c r="V15" s="144"/>
      <c r="W15" s="144"/>
      <c r="X15" s="41"/>
    </row>
    <row r="16" spans="1:24" ht="6" customHeight="1" x14ac:dyDescent="0.25">
      <c r="B16" s="39"/>
      <c r="C16" s="40"/>
      <c r="D16" s="144"/>
      <c r="E16" s="144"/>
      <c r="F16" s="144"/>
      <c r="G16" s="144"/>
      <c r="H16" s="144"/>
      <c r="I16" s="144"/>
      <c r="J16" s="144"/>
      <c r="K16" s="144"/>
      <c r="L16" s="144"/>
      <c r="M16" s="144"/>
      <c r="N16" s="144"/>
      <c r="O16" s="144"/>
      <c r="P16" s="144"/>
      <c r="Q16" s="144"/>
      <c r="R16" s="144"/>
      <c r="S16" s="144"/>
      <c r="T16" s="144"/>
      <c r="U16" s="144"/>
      <c r="V16" s="144"/>
      <c r="W16" s="144"/>
      <c r="X16" s="41"/>
    </row>
    <row r="17" spans="1:24" x14ac:dyDescent="0.25">
      <c r="A17" s="146" t="str">
        <f>IFERROR(HLOOKUP(LANGUAGE,DICCIONARIO!F1:K13,13,0),LANGUAGE)</f>
        <v>PERSONALIZAR DICCIONARIO</v>
      </c>
      <c r="B17" s="39"/>
      <c r="C17" s="40"/>
      <c r="D17" s="144"/>
      <c r="E17" s="144"/>
      <c r="F17" s="144"/>
      <c r="G17" s="144"/>
      <c r="H17" s="144"/>
      <c r="I17" s="144"/>
      <c r="J17" s="144"/>
      <c r="K17" s="144"/>
      <c r="L17" s="144"/>
      <c r="M17" s="144"/>
      <c r="N17" s="144"/>
      <c r="O17" s="144"/>
      <c r="P17" s="144"/>
      <c r="Q17" s="144"/>
      <c r="R17" s="144"/>
      <c r="S17" s="144"/>
      <c r="T17" s="144"/>
      <c r="U17" s="144"/>
      <c r="V17" s="144"/>
      <c r="W17" s="144"/>
      <c r="X17" s="41"/>
    </row>
    <row r="18" spans="1:24" ht="6" customHeight="1" x14ac:dyDescent="0.25">
      <c r="A18" s="146"/>
      <c r="B18" s="39"/>
      <c r="C18" s="40"/>
      <c r="D18" s="144"/>
      <c r="E18" s="144"/>
      <c r="F18" s="144"/>
      <c r="G18" s="144"/>
      <c r="H18" s="144"/>
      <c r="I18" s="144"/>
      <c r="J18" s="144"/>
      <c r="K18" s="144"/>
      <c r="L18" s="144"/>
      <c r="M18" s="144"/>
      <c r="N18" s="144"/>
      <c r="O18" s="144"/>
      <c r="P18" s="144"/>
      <c r="Q18" s="144"/>
      <c r="R18" s="144"/>
      <c r="S18" s="144"/>
      <c r="T18" s="144"/>
      <c r="U18" s="144"/>
      <c r="V18" s="144"/>
      <c r="W18" s="144"/>
      <c r="X18" s="41"/>
    </row>
    <row r="19" spans="1:24" x14ac:dyDescent="0.25">
      <c r="A19" s="146"/>
      <c r="B19" s="39"/>
      <c r="C19" s="40"/>
      <c r="D19" s="144"/>
      <c r="E19" s="144"/>
      <c r="F19" s="144"/>
      <c r="G19" s="144"/>
      <c r="H19" s="144"/>
      <c r="I19" s="144"/>
      <c r="J19" s="144"/>
      <c r="K19" s="144"/>
      <c r="L19" s="144"/>
      <c r="M19" s="144"/>
      <c r="N19" s="144"/>
      <c r="O19" s="144"/>
      <c r="P19" s="144"/>
      <c r="Q19" s="144"/>
      <c r="R19" s="144"/>
      <c r="S19" s="144"/>
      <c r="T19" s="144"/>
      <c r="U19" s="144"/>
      <c r="V19" s="144"/>
      <c r="W19" s="144"/>
      <c r="X19" s="41"/>
    </row>
    <row r="20" spans="1:24" ht="6" customHeight="1" x14ac:dyDescent="0.25">
      <c r="B20" s="39"/>
      <c r="C20" s="40"/>
      <c r="D20" s="144"/>
      <c r="E20" s="144"/>
      <c r="F20" s="144"/>
      <c r="G20" s="144"/>
      <c r="H20" s="144"/>
      <c r="I20" s="144"/>
      <c r="J20" s="144"/>
      <c r="K20" s="144"/>
      <c r="L20" s="144"/>
      <c r="M20" s="144"/>
      <c r="N20" s="144"/>
      <c r="O20" s="144"/>
      <c r="P20" s="144"/>
      <c r="Q20" s="144"/>
      <c r="R20" s="144"/>
      <c r="S20" s="144"/>
      <c r="T20" s="144"/>
      <c r="U20" s="144"/>
      <c r="V20" s="144"/>
      <c r="W20" s="144"/>
      <c r="X20" s="41"/>
    </row>
    <row r="21" spans="1:24" x14ac:dyDescent="0.25">
      <c r="B21" s="39"/>
      <c r="C21" s="40"/>
      <c r="D21" s="144"/>
      <c r="E21" s="144"/>
      <c r="F21" s="144"/>
      <c r="G21" s="144"/>
      <c r="H21" s="144"/>
      <c r="I21" s="144"/>
      <c r="J21" s="144"/>
      <c r="K21" s="144"/>
      <c r="L21" s="144"/>
      <c r="M21" s="144"/>
      <c r="N21" s="144"/>
      <c r="O21" s="144"/>
      <c r="P21" s="144"/>
      <c r="Q21" s="144"/>
      <c r="R21" s="144"/>
      <c r="S21" s="144"/>
      <c r="T21" s="144"/>
      <c r="U21" s="144"/>
      <c r="V21" s="144"/>
      <c r="W21" s="144"/>
      <c r="X21" s="41"/>
    </row>
    <row r="22" spans="1:24" ht="6" customHeight="1" x14ac:dyDescent="0.25">
      <c r="B22" s="39"/>
      <c r="C22" s="40"/>
      <c r="D22" s="144"/>
      <c r="E22" s="144"/>
      <c r="F22" s="144"/>
      <c r="G22" s="144"/>
      <c r="H22" s="144"/>
      <c r="I22" s="144"/>
      <c r="J22" s="144"/>
      <c r="K22" s="144"/>
      <c r="L22" s="144"/>
      <c r="M22" s="144"/>
      <c r="N22" s="144"/>
      <c r="O22" s="144"/>
      <c r="P22" s="144"/>
      <c r="Q22" s="144"/>
      <c r="R22" s="144"/>
      <c r="S22" s="144"/>
      <c r="T22" s="144"/>
      <c r="U22" s="144"/>
      <c r="V22" s="144"/>
      <c r="W22" s="144"/>
      <c r="X22" s="41"/>
    </row>
    <row r="23" spans="1:24" x14ac:dyDescent="0.25">
      <c r="B23" s="39"/>
      <c r="C23" s="40"/>
      <c r="D23" s="144"/>
      <c r="E23" s="144"/>
      <c r="F23" s="144"/>
      <c r="G23" s="144"/>
      <c r="H23" s="144"/>
      <c r="I23" s="144"/>
      <c r="J23" s="144"/>
      <c r="K23" s="144"/>
      <c r="L23" s="144"/>
      <c r="M23" s="144"/>
      <c r="N23" s="144"/>
      <c r="O23" s="144"/>
      <c r="P23" s="144"/>
      <c r="Q23" s="144"/>
      <c r="R23" s="144"/>
      <c r="S23" s="144"/>
      <c r="T23" s="144"/>
      <c r="U23" s="144"/>
      <c r="V23" s="144"/>
      <c r="W23" s="144"/>
      <c r="X23" s="41"/>
    </row>
    <row r="24" spans="1:24" ht="6" customHeight="1" x14ac:dyDescent="0.25">
      <c r="B24" s="39"/>
      <c r="C24" s="40"/>
      <c r="D24" s="144"/>
      <c r="E24" s="144"/>
      <c r="F24" s="144"/>
      <c r="G24" s="144"/>
      <c r="H24" s="144"/>
      <c r="I24" s="144"/>
      <c r="J24" s="144"/>
      <c r="K24" s="144"/>
      <c r="L24" s="144"/>
      <c r="M24" s="144"/>
      <c r="N24" s="144"/>
      <c r="O24" s="144"/>
      <c r="P24" s="144"/>
      <c r="Q24" s="144"/>
      <c r="R24" s="144"/>
      <c r="S24" s="144"/>
      <c r="T24" s="144"/>
      <c r="U24" s="144"/>
      <c r="V24" s="144"/>
      <c r="W24" s="144"/>
      <c r="X24" s="41"/>
    </row>
    <row r="25" spans="1:24" ht="15.75" thickBot="1" x14ac:dyDescent="0.3">
      <c r="B25" s="39"/>
      <c r="C25" s="40"/>
      <c r="D25" s="145"/>
      <c r="E25" s="145"/>
      <c r="F25" s="145"/>
      <c r="G25" s="145"/>
      <c r="H25" s="145"/>
      <c r="I25" s="145"/>
      <c r="J25" s="145"/>
      <c r="K25" s="145"/>
      <c r="L25" s="145"/>
      <c r="M25" s="145"/>
      <c r="N25" s="145"/>
      <c r="O25" s="145"/>
      <c r="P25" s="145"/>
      <c r="Q25" s="145"/>
      <c r="R25" s="145"/>
      <c r="S25" s="145"/>
      <c r="T25" s="145"/>
      <c r="U25" s="145"/>
      <c r="V25" s="145"/>
      <c r="W25" s="145"/>
      <c r="X25" s="41"/>
    </row>
    <row r="26" spans="1:24" ht="6" customHeight="1" x14ac:dyDescent="0.25">
      <c r="B26" s="39"/>
      <c r="C26" s="40"/>
      <c r="D26" s="151" t="str">
        <f ca="1">"
"&amp;INDIRECT("Z_IN_08_"&amp;IDIOMA)</f>
        <v xml:space="preserve">
La idea principal es facilitar el uso en cualquier aplicación que las necesite. Además, también es para animar a los docentes a usarlas en sus clases y así hacerlas más dinámicas y atractivas.</v>
      </c>
      <c r="E26" s="151"/>
      <c r="F26" s="151"/>
      <c r="G26" s="151"/>
      <c r="H26" s="151"/>
      <c r="I26" s="151"/>
      <c r="J26" s="151"/>
      <c r="K26" s="151"/>
      <c r="L26" s="151"/>
      <c r="M26" s="151"/>
      <c r="N26" s="151"/>
      <c r="O26" s="151"/>
      <c r="P26" s="151"/>
      <c r="Q26" s="151"/>
      <c r="R26" s="43"/>
      <c r="S26" s="43"/>
      <c r="T26" s="43"/>
      <c r="U26" s="43"/>
      <c r="V26" s="43"/>
      <c r="W26" s="43"/>
      <c r="X26" s="41"/>
    </row>
    <row r="27" spans="1:24" ht="15" customHeight="1" x14ac:dyDescent="0.25">
      <c r="B27" s="39"/>
      <c r="C27" s="40"/>
      <c r="D27" s="151"/>
      <c r="E27" s="151"/>
      <c r="F27" s="151"/>
      <c r="G27" s="151"/>
      <c r="H27" s="151"/>
      <c r="I27" s="151"/>
      <c r="J27" s="151"/>
      <c r="K27" s="151"/>
      <c r="L27" s="151"/>
      <c r="M27" s="151"/>
      <c r="N27" s="151"/>
      <c r="O27" s="151"/>
      <c r="P27" s="151"/>
      <c r="Q27" s="151"/>
      <c r="R27" s="43"/>
      <c r="S27" s="43"/>
      <c r="T27" s="43"/>
      <c r="U27" s="43"/>
      <c r="V27" s="43"/>
      <c r="W27" s="43"/>
      <c r="X27" s="41"/>
    </row>
    <row r="28" spans="1:24" ht="6" customHeight="1" x14ac:dyDescent="0.25">
      <c r="B28" s="39"/>
      <c r="C28" s="40"/>
      <c r="D28" s="151"/>
      <c r="E28" s="151"/>
      <c r="F28" s="151"/>
      <c r="G28" s="151"/>
      <c r="H28" s="151"/>
      <c r="I28" s="151"/>
      <c r="J28" s="151"/>
      <c r="K28" s="151"/>
      <c r="L28" s="151"/>
      <c r="M28" s="151"/>
      <c r="N28" s="151"/>
      <c r="O28" s="151"/>
      <c r="P28" s="151"/>
      <c r="Q28" s="151"/>
      <c r="R28" s="43"/>
      <c r="S28" s="43"/>
      <c r="T28" s="43"/>
      <c r="U28" s="43"/>
      <c r="V28" s="43"/>
      <c r="W28" s="43"/>
      <c r="X28" s="41"/>
    </row>
    <row r="29" spans="1:24" ht="15" customHeight="1" x14ac:dyDescent="0.25">
      <c r="B29" s="39"/>
      <c r="C29" s="40"/>
      <c r="D29" s="151"/>
      <c r="E29" s="151"/>
      <c r="F29" s="151"/>
      <c r="G29" s="151"/>
      <c r="H29" s="151"/>
      <c r="I29" s="151"/>
      <c r="J29" s="151"/>
      <c r="K29" s="151"/>
      <c r="L29" s="151"/>
      <c r="M29" s="151"/>
      <c r="N29" s="151"/>
      <c r="O29" s="151"/>
      <c r="P29" s="151"/>
      <c r="Q29" s="151"/>
      <c r="R29" s="44"/>
      <c r="S29" s="44"/>
      <c r="T29" s="44"/>
      <c r="U29" s="44"/>
      <c r="V29" s="44"/>
      <c r="W29" s="44"/>
      <c r="X29" s="45"/>
    </row>
    <row r="30" spans="1:24" ht="6" customHeight="1" x14ac:dyDescent="0.25">
      <c r="B30" s="39"/>
      <c r="C30" s="40"/>
      <c r="D30" s="151"/>
      <c r="E30" s="151"/>
      <c r="F30" s="151"/>
      <c r="G30" s="151"/>
      <c r="H30" s="151"/>
      <c r="I30" s="151"/>
      <c r="J30" s="151"/>
      <c r="K30" s="151"/>
      <c r="L30" s="151"/>
      <c r="M30" s="151"/>
      <c r="N30" s="151"/>
      <c r="O30" s="151"/>
      <c r="P30" s="151"/>
      <c r="Q30" s="151"/>
      <c r="R30" s="44"/>
      <c r="S30" s="152" t="str">
        <f>"   "&amp;MID(T11,1,8)</f>
        <v xml:space="preserve">   V - 2.0 </v>
      </c>
      <c r="T30" s="152"/>
      <c r="U30" s="152"/>
      <c r="V30" s="152"/>
      <c r="W30" s="152"/>
      <c r="X30" s="153"/>
    </row>
    <row r="31" spans="1:24" x14ac:dyDescent="0.25">
      <c r="B31" s="39"/>
      <c r="C31" s="40"/>
      <c r="D31" s="151"/>
      <c r="E31" s="151"/>
      <c r="F31" s="151"/>
      <c r="G31" s="151"/>
      <c r="H31" s="151"/>
      <c r="I31" s="151"/>
      <c r="J31" s="151"/>
      <c r="K31" s="151"/>
      <c r="L31" s="151"/>
      <c r="M31" s="151"/>
      <c r="N31" s="151"/>
      <c r="O31" s="151"/>
      <c r="P31" s="151"/>
      <c r="Q31" s="151"/>
      <c r="R31" s="44"/>
      <c r="S31" s="152"/>
      <c r="T31" s="152"/>
      <c r="U31" s="152"/>
      <c r="V31" s="152"/>
      <c r="W31" s="152"/>
      <c r="X31" s="153"/>
    </row>
    <row r="32" spans="1:24" ht="6" customHeight="1" x14ac:dyDescent="0.25">
      <c r="B32" s="39"/>
      <c r="C32" s="40"/>
      <c r="D32" s="151"/>
      <c r="E32" s="151"/>
      <c r="F32" s="151"/>
      <c r="G32" s="151"/>
      <c r="H32" s="151"/>
      <c r="I32" s="151"/>
      <c r="J32" s="151"/>
      <c r="K32" s="151"/>
      <c r="L32" s="151"/>
      <c r="M32" s="151"/>
      <c r="N32" s="151"/>
      <c r="O32" s="151"/>
      <c r="P32" s="151"/>
      <c r="Q32" s="151"/>
      <c r="R32" s="44"/>
      <c r="S32" s="152"/>
      <c r="T32" s="152"/>
      <c r="U32" s="152"/>
      <c r="V32" s="152"/>
      <c r="W32" s="152"/>
      <c r="X32" s="153"/>
    </row>
    <row r="33" spans="1:73" x14ac:dyDescent="0.25">
      <c r="B33" s="39"/>
      <c r="C33" s="40"/>
      <c r="D33" s="151"/>
      <c r="E33" s="151"/>
      <c r="F33" s="151"/>
      <c r="G33" s="151"/>
      <c r="H33" s="151"/>
      <c r="I33" s="151"/>
      <c r="J33" s="151"/>
      <c r="K33" s="151"/>
      <c r="L33" s="151"/>
      <c r="M33" s="151"/>
      <c r="N33" s="151"/>
      <c r="O33" s="151"/>
      <c r="P33" s="151"/>
      <c r="Q33" s="151"/>
      <c r="R33" s="44"/>
      <c r="S33" s="152"/>
      <c r="T33" s="152"/>
      <c r="U33" s="152"/>
      <c r="V33" s="152"/>
      <c r="W33" s="152"/>
      <c r="X33" s="153"/>
    </row>
    <row r="34" spans="1:73" ht="6" customHeight="1" x14ac:dyDescent="0.25">
      <c r="B34" s="39"/>
      <c r="C34" s="40"/>
      <c r="D34" s="151"/>
      <c r="E34" s="151"/>
      <c r="F34" s="151"/>
      <c r="G34" s="151"/>
      <c r="H34" s="151"/>
      <c r="I34" s="151"/>
      <c r="J34" s="151"/>
      <c r="K34" s="151"/>
      <c r="L34" s="151"/>
      <c r="M34" s="151"/>
      <c r="N34" s="151"/>
      <c r="O34" s="151"/>
      <c r="P34" s="151"/>
      <c r="Q34" s="151"/>
      <c r="R34" s="44"/>
      <c r="S34" s="152"/>
      <c r="T34" s="152"/>
      <c r="U34" s="152"/>
      <c r="V34" s="152"/>
      <c r="W34" s="152"/>
      <c r="X34" s="153"/>
    </row>
    <row r="35" spans="1:73" x14ac:dyDescent="0.25">
      <c r="B35" s="39"/>
      <c r="C35" s="40"/>
      <c r="D35" s="151"/>
      <c r="E35" s="151"/>
      <c r="F35" s="151"/>
      <c r="G35" s="151"/>
      <c r="H35" s="151"/>
      <c r="I35" s="151"/>
      <c r="J35" s="151"/>
      <c r="K35" s="151"/>
      <c r="L35" s="151"/>
      <c r="M35" s="151"/>
      <c r="N35" s="151"/>
      <c r="O35" s="151"/>
      <c r="P35" s="151"/>
      <c r="Q35" s="151"/>
      <c r="R35" s="44"/>
      <c r="S35" s="152"/>
      <c r="T35" s="152"/>
      <c r="U35" s="152"/>
      <c r="V35" s="152"/>
      <c r="W35" s="152"/>
      <c r="X35" s="153"/>
    </row>
    <row r="36" spans="1:73" ht="9.9499999999999993" customHeight="1" thickBot="1" x14ac:dyDescent="0.3">
      <c r="B36" s="46"/>
      <c r="C36" s="47"/>
      <c r="D36" s="47"/>
      <c r="E36" s="47"/>
      <c r="F36" s="47"/>
      <c r="G36" s="47"/>
      <c r="H36" s="47"/>
      <c r="I36" s="47"/>
      <c r="J36" s="47"/>
      <c r="K36" s="47"/>
      <c r="L36" s="47"/>
      <c r="M36" s="47"/>
      <c r="N36" s="47"/>
      <c r="O36" s="47"/>
      <c r="P36" s="47"/>
      <c r="Q36" s="47"/>
      <c r="R36" s="48"/>
      <c r="S36" s="154"/>
      <c r="T36" s="154"/>
      <c r="U36" s="154"/>
      <c r="V36" s="154"/>
      <c r="W36" s="154"/>
      <c r="X36" s="155"/>
    </row>
    <row r="37" spans="1:73" ht="15.75" hidden="1" customHeight="1" thickTop="1" x14ac:dyDescent="0.25">
      <c r="A37" s="49" t="str">
        <f>IFERROR(VLOOKUP(LANGUAGE,Tabla13[],2,0),"")</f>
        <v>S</v>
      </c>
      <c r="B37" s="51">
        <v>6</v>
      </c>
      <c r="C37" s="50"/>
      <c r="D37" s="50"/>
      <c r="G37" s="52"/>
    </row>
    <row r="38" spans="1:73" s="55" customFormat="1" ht="15" hidden="1" customHeight="1" x14ac:dyDescent="0.25">
      <c r="A38" s="53" t="s">
        <v>35</v>
      </c>
      <c r="B38" s="54" t="s">
        <v>36</v>
      </c>
      <c r="BA38"/>
      <c r="BB38"/>
      <c r="BC38"/>
      <c r="BD38"/>
      <c r="BE38"/>
      <c r="BF38"/>
      <c r="BG38"/>
      <c r="BH38"/>
      <c r="BI38"/>
      <c r="BJ38"/>
      <c r="BK38"/>
      <c r="BL38"/>
      <c r="BM38"/>
      <c r="BN38"/>
      <c r="BO38"/>
      <c r="BP38"/>
      <c r="BQ38"/>
      <c r="BR38"/>
      <c r="BS38"/>
      <c r="BT38"/>
      <c r="BU38"/>
    </row>
    <row r="39" spans="1:73" s="55" customFormat="1" ht="15" hidden="1" customHeight="1" x14ac:dyDescent="0.25">
      <c r="A39" s="56" t="s">
        <v>33</v>
      </c>
      <c r="B39" s="56" t="s">
        <v>15</v>
      </c>
      <c r="BA39"/>
      <c r="BB39"/>
      <c r="BC39"/>
      <c r="BD39"/>
      <c r="BE39"/>
      <c r="BF39"/>
      <c r="BG39"/>
      <c r="BH39"/>
      <c r="BI39"/>
      <c r="BJ39"/>
      <c r="BK39"/>
      <c r="BL39"/>
      <c r="BM39"/>
      <c r="BN39"/>
      <c r="BO39"/>
      <c r="BP39"/>
      <c r="BQ39"/>
      <c r="BR39"/>
      <c r="BS39"/>
      <c r="BT39"/>
      <c r="BU39"/>
    </row>
    <row r="40" spans="1:73" s="55" customFormat="1" ht="15" hidden="1" customHeight="1" x14ac:dyDescent="0.25">
      <c r="A40" s="56" t="s">
        <v>37</v>
      </c>
      <c r="B40" s="56" t="s">
        <v>16</v>
      </c>
      <c r="BA40"/>
      <c r="BB40"/>
      <c r="BC40"/>
      <c r="BD40"/>
      <c r="BE40"/>
      <c r="BF40"/>
      <c r="BG40"/>
      <c r="BH40"/>
      <c r="BI40"/>
      <c r="BJ40"/>
      <c r="BK40"/>
      <c r="BL40"/>
      <c r="BM40"/>
      <c r="BN40"/>
      <c r="BO40"/>
      <c r="BP40"/>
      <c r="BQ40"/>
      <c r="BR40"/>
      <c r="BS40"/>
      <c r="BT40"/>
      <c r="BU40"/>
    </row>
    <row r="41" spans="1:73" s="55" customFormat="1" ht="15" hidden="1" customHeight="1" x14ac:dyDescent="0.25">
      <c r="A41" s="56" t="s">
        <v>38</v>
      </c>
      <c r="B41" s="56" t="s">
        <v>17</v>
      </c>
      <c r="BA41"/>
      <c r="BB41"/>
      <c r="BC41"/>
      <c r="BD41"/>
      <c r="BE41"/>
      <c r="BF41"/>
      <c r="BG41"/>
      <c r="BH41"/>
      <c r="BI41"/>
      <c r="BJ41"/>
      <c r="BK41"/>
      <c r="BL41"/>
      <c r="BM41"/>
      <c r="BN41"/>
      <c r="BO41"/>
      <c r="BP41"/>
      <c r="BQ41"/>
      <c r="BR41"/>
      <c r="BS41"/>
      <c r="BT41"/>
      <c r="BU41"/>
    </row>
    <row r="42" spans="1:73" s="55" customFormat="1" ht="15" hidden="1" customHeight="1" x14ac:dyDescent="0.25">
      <c r="A42" s="56" t="s">
        <v>39</v>
      </c>
      <c r="B42" s="56" t="s">
        <v>18</v>
      </c>
      <c r="BA42"/>
      <c r="BB42"/>
      <c r="BC42"/>
      <c r="BD42"/>
      <c r="BE42"/>
      <c r="BF42"/>
      <c r="BG42"/>
      <c r="BH42"/>
      <c r="BI42"/>
      <c r="BJ42"/>
      <c r="BK42"/>
      <c r="BL42"/>
      <c r="BM42"/>
      <c r="BN42"/>
      <c r="BO42"/>
      <c r="BP42"/>
      <c r="BQ42"/>
      <c r="BR42"/>
      <c r="BS42"/>
      <c r="BT42"/>
      <c r="BU42"/>
    </row>
    <row r="43" spans="1:73" s="55" customFormat="1" ht="15" hidden="1" customHeight="1" x14ac:dyDescent="0.25">
      <c r="A43" s="56" t="s">
        <v>40</v>
      </c>
      <c r="B43" s="56" t="s">
        <v>19</v>
      </c>
      <c r="BA43"/>
      <c r="BB43"/>
      <c r="BC43"/>
      <c r="BD43"/>
      <c r="BE43"/>
      <c r="BF43"/>
      <c r="BG43"/>
      <c r="BH43"/>
      <c r="BI43"/>
      <c r="BJ43"/>
      <c r="BK43"/>
      <c r="BL43"/>
      <c r="BM43"/>
      <c r="BN43"/>
      <c r="BO43"/>
      <c r="BP43"/>
      <c r="BQ43"/>
      <c r="BR43"/>
      <c r="BS43"/>
      <c r="BT43"/>
      <c r="BU43"/>
    </row>
    <row r="44" spans="1:73" s="55" customFormat="1" ht="15" hidden="1" customHeight="1" x14ac:dyDescent="0.25">
      <c r="A44" s="56" t="s">
        <v>41</v>
      </c>
      <c r="B44" s="56" t="s">
        <v>20</v>
      </c>
      <c r="BA44"/>
      <c r="BB44"/>
      <c r="BC44"/>
      <c r="BD44"/>
      <c r="BE44"/>
      <c r="BF44"/>
      <c r="BG44"/>
      <c r="BH44"/>
      <c r="BI44"/>
      <c r="BJ44"/>
      <c r="BK44"/>
      <c r="BL44"/>
      <c r="BM44"/>
      <c r="BN44"/>
      <c r="BO44"/>
      <c r="BP44"/>
      <c r="BQ44"/>
      <c r="BR44"/>
      <c r="BS44"/>
      <c r="BT44"/>
      <c r="BU44"/>
    </row>
    <row r="45" spans="1:73" s="55" customFormat="1" hidden="1" x14ac:dyDescent="0.25">
      <c r="A45" s="57" t="str">
        <f>A17</f>
        <v>PERSONALIZAR DICCIONARIO</v>
      </c>
      <c r="B45" s="56" t="s">
        <v>14</v>
      </c>
      <c r="BA45"/>
      <c r="BB45"/>
      <c r="BC45"/>
      <c r="BD45"/>
      <c r="BE45"/>
      <c r="BF45"/>
      <c r="BG45"/>
      <c r="BH45"/>
      <c r="BI45"/>
      <c r="BJ45"/>
      <c r="BK45"/>
      <c r="BL45"/>
      <c r="BM45"/>
      <c r="BN45"/>
      <c r="BO45"/>
      <c r="BP45"/>
      <c r="BQ45"/>
      <c r="BR45"/>
      <c r="BS45"/>
      <c r="BT45"/>
      <c r="BU45"/>
    </row>
    <row r="46" spans="1:73" ht="15.75" thickTop="1" x14ac:dyDescent="0.25"/>
  </sheetData>
  <sheetProtection algorithmName="SHA-512" hashValue="JZjOmSeVB8gHJ6EdCZNEBkjomALuMgA1njS7Zf551SZRpCv6yOM3iOhEVAMWPnvw0mf586byd8E0xvv8tSajfg==" saltValue="FDQe0Pa27+rL+LMvO8lAYg==" spinCount="100000" sheet="1" objects="1" scenarios="1" selectLockedCells="1"/>
  <mergeCells count="19">
    <mergeCell ref="D26:Q35"/>
    <mergeCell ref="S30:X36"/>
    <mergeCell ref="T8:W10"/>
    <mergeCell ref="K9:O9"/>
    <mergeCell ref="A1:A9"/>
    <mergeCell ref="G1:S3"/>
    <mergeCell ref="T2:W2"/>
    <mergeCell ref="C5:F9"/>
    <mergeCell ref="H5:R5"/>
    <mergeCell ref="G7:I12"/>
    <mergeCell ref="A11:A13"/>
    <mergeCell ref="C11:F11"/>
    <mergeCell ref="K11:O11"/>
    <mergeCell ref="T11:W11"/>
    <mergeCell ref="D13:W25"/>
    <mergeCell ref="A17:A19"/>
    <mergeCell ref="J7:P7"/>
    <mergeCell ref="Q7:S12"/>
    <mergeCell ref="T4:W6"/>
  </mergeCells>
  <dataValidations count="1">
    <dataValidation type="list" allowBlank="1" showInputMessage="1" showErrorMessage="1" sqref="A39 A11:A13">
      <formula1>$A$39:$A$45</formula1>
    </dataValidation>
  </dataValidations>
  <hyperlinks>
    <hyperlink ref="K11" r:id="rId1"/>
  </hyperlinks>
  <pageMargins left="0.7" right="0.7" top="0.75" bottom="0.75" header="0.3" footer="0.3"/>
  <pageSetup paperSize="9" orientation="portrait" horizontalDpi="1200" verticalDpi="1200"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T_01"/>
  <dimension ref="A1:G4"/>
  <sheetViews>
    <sheetView showGridLines="0" showRowColHeaders="0" zoomScale="115" zoomScaleNormal="115" workbookViewId="0">
      <pane xSplit="3" ySplit="2" topLeftCell="D3" activePane="bottomRight" state="frozen"/>
      <selection activeCell="B4" sqref="B4"/>
      <selection pane="topRight" activeCell="B4" sqref="B4"/>
      <selection pane="bottomLeft" activeCell="B4" sqref="B4"/>
      <selection pane="bottomRight" activeCell="D3" sqref="D3"/>
    </sheetView>
  </sheetViews>
  <sheetFormatPr baseColWidth="10" defaultColWidth="11.42578125" defaultRowHeight="15" x14ac:dyDescent="0.25"/>
  <cols>
    <col min="1" max="1" width="3.7109375" style="9" customWidth="1"/>
    <col min="2" max="2" width="40.7109375" style="9" customWidth="1"/>
    <col min="3" max="3" width="14.7109375" style="9" customWidth="1"/>
    <col min="4" max="5" width="60.7109375" style="9" customWidth="1"/>
    <col min="6" max="6" width="4.7109375" style="9" customWidth="1"/>
    <col min="7" max="7" width="9.140625" style="9" bestFit="1" customWidth="1"/>
    <col min="8" max="16384" width="11.42578125" style="9"/>
  </cols>
  <sheetData>
    <row r="1" spans="1:7" s="8" customFormat="1" ht="35.1" customHeight="1" thickBot="1" x14ac:dyDescent="0.3">
      <c r="A1" s="65" t="s">
        <v>31</v>
      </c>
      <c r="B1" s="159" t="str">
        <f ca="1">INDIRECT("Z_HT_01_"&amp;IDIOMA)</f>
        <v>IR A CONSULTAR IMAGEN</v>
      </c>
      <c r="C1" s="160"/>
      <c r="D1" s="86" t="str">
        <f ca="1">INDIRECT("Z_HT_02_"&amp;IDIOMA)</f>
        <v>INSERTAR NUEVA IMAGEN</v>
      </c>
      <c r="E1" s="87" t="str">
        <f ca="1">IF(F1=0,"",INDIRECT("Z_HT_03_"&amp;IDIOMA))</f>
        <v/>
      </c>
      <c r="F1" s="84">
        <f ca="1">COUNTA(B:B)-2</f>
        <v>0</v>
      </c>
      <c r="G1" s="85" t="str">
        <f ca="1">INDIRECT("Z_HT_04_"&amp;IDIOMA)</f>
        <v>IMÁGENES</v>
      </c>
    </row>
    <row r="2" spans="1:7" s="8" customFormat="1" ht="30" customHeight="1" thickTop="1" thickBot="1" x14ac:dyDescent="0.3">
      <c r="A2" s="76" t="s">
        <v>280</v>
      </c>
      <c r="B2" s="88" t="s">
        <v>122</v>
      </c>
      <c r="C2" s="89" t="s">
        <v>1</v>
      </c>
      <c r="D2" s="89" t="s">
        <v>146</v>
      </c>
      <c r="E2" s="90" t="s">
        <v>147</v>
      </c>
      <c r="F2" s="161" t="str">
        <f ca="1">INDIRECT("Z_CI_18_"&amp;IDIOMA)</f>
        <v>¡NO USAR CORTAR!  
  [Ctrl + X]</v>
      </c>
      <c r="G2" s="161"/>
    </row>
    <row r="3" spans="1:7" ht="50.25" customHeight="1" thickTop="1" x14ac:dyDescent="0.25">
      <c r="A3" s="80">
        <f>ROW()-2</f>
        <v>1</v>
      </c>
      <c r="B3" s="78"/>
      <c r="C3" s="79"/>
      <c r="D3" s="91"/>
      <c r="E3" s="92"/>
    </row>
    <row r="4" spans="1:7" ht="50.25" customHeight="1" x14ac:dyDescent="0.25">
      <c r="A4" s="77">
        <f>ROW()-2</f>
        <v>2</v>
      </c>
      <c r="B4" s="81"/>
      <c r="C4" s="82"/>
      <c r="D4"/>
      <c r="E4" s="83"/>
    </row>
  </sheetData>
  <sheetProtection algorithmName="SHA-512" hashValue="jkMeLcGF6OEezVH1xO4taWicNZTSO467T9NJ5tiY0nPaV15E2OUG0v5aCmNlxL58TPmL6a4z5UCsq1jjMSWIaA==" saltValue="htrQfAoXWu7Bl8bmTvOvzg==" spinCount="100000" sheet="1" objects="1" scenarios="1" selectLockedCells="1"/>
  <mergeCells count="2">
    <mergeCell ref="B1:C1"/>
    <mergeCell ref="F2:G2"/>
  </mergeCells>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_2"/>
  <dimension ref="A1:K29"/>
  <sheetViews>
    <sheetView showGridLines="0" showRowColHeaders="0" showZeros="0" zoomScale="122" zoomScaleNormal="122" workbookViewId="0">
      <pane xSplit="11" ySplit="29" topLeftCell="L30" activePane="bottomRight" state="frozen"/>
      <selection pane="topRight" activeCell="L1" sqref="L1"/>
      <selection pane="bottomLeft" activeCell="A30" sqref="A30"/>
      <selection pane="bottomRight" activeCell="D4" sqref="D4"/>
    </sheetView>
  </sheetViews>
  <sheetFormatPr baseColWidth="10" defaultColWidth="11.42578125" defaultRowHeight="15" x14ac:dyDescent="0.25"/>
  <cols>
    <col min="1" max="1" width="1.7109375" customWidth="1"/>
    <col min="2" max="2" width="26.28515625" customWidth="1"/>
    <col min="3" max="3" width="3.7109375" customWidth="1"/>
    <col min="4" max="5" width="38.140625" customWidth="1"/>
    <col min="6" max="7" width="10.7109375" hidden="1" customWidth="1"/>
    <col min="8" max="9" width="8.28515625" customWidth="1"/>
    <col min="10" max="10" width="52.5703125" customWidth="1"/>
    <col min="11" max="11" width="10.7109375" customWidth="1"/>
    <col min="12" max="12" width="1.7109375" customWidth="1"/>
  </cols>
  <sheetData>
    <row r="1" spans="1:11" ht="24.95" customHeight="1" thickTop="1" thickBot="1" x14ac:dyDescent="0.3">
      <c r="A1" s="118" t="s">
        <v>31</v>
      </c>
      <c r="B1" s="61" t="str">
        <f ca="1">INDIRECT("Z_CI_02_"&amp;IDIOMA)</f>
        <v>NUEVO TEMA</v>
      </c>
      <c r="C1" s="66">
        <f>COUNTA(TABLA_TEMAS[TEMA])</f>
        <v>3</v>
      </c>
      <c r="D1" s="61" t="str">
        <f ca="1">IF(N_TEMAS=0,"",INDIRECT("Z_CI_03_"&amp;IDIOMA)&amp;D4)</f>
        <v>IR A TEMA: PERSONAJES</v>
      </c>
      <c r="E1" s="62" t="str">
        <f ca="1">IF(N_TEMAS=0,"",INDIRECT("Z_CI_04_"&amp;IDIOMA)&amp;D4)</f>
        <v>BORRAR TEMA: PERSONAJES</v>
      </c>
      <c r="F1" s="3"/>
      <c r="G1" s="3"/>
      <c r="H1" s="163" t="str">
        <f ca="1">INDIRECT("Z_IN_00_"&amp;IDIOMA)</f>
        <v>INICIO</v>
      </c>
      <c r="I1" s="164"/>
      <c r="J1" s="67" t="str">
        <f>INICIO!G1</f>
        <v>ForImage Database</v>
      </c>
    </row>
    <row r="2" spans="1:11" ht="24.95" customHeight="1" thickTop="1" thickBot="1" x14ac:dyDescent="0.3">
      <c r="B2" s="119" t="str">
        <f ca="1">INDIRECT("Z_CI_05_"&amp;IDIOMA)</f>
        <v>TEMA</v>
      </c>
      <c r="C2" s="73" t="str">
        <f>"TABLA_"&amp;DATOS_IMAGEN[TEMA IMAGEN A MOSTRAR]&amp;"["&amp;DATOS_IMAGEN[TEMA IMAGEN A MOSTRAR]&amp;"]"</f>
        <v>TABLA_PERSONAJES[PERSONAJES]</v>
      </c>
      <c r="D2" s="120" t="str">
        <f ca="1">INDIRECT("Z_CI_06_"&amp;IDIOMA)</f>
        <v>TEMA IMAGEN A MOSTRAR</v>
      </c>
      <c r="E2" s="121" t="str">
        <f ca="1">INDIRECT("Z_CI_07_"&amp;IDIOMA)</f>
        <v>NOMBRE IMAGEN</v>
      </c>
      <c r="F2" s="121" t="s">
        <v>1</v>
      </c>
      <c r="G2" s="121" t="s">
        <v>142</v>
      </c>
      <c r="H2" s="121" t="str">
        <f ca="1">INDIRECT("Z_CI_08_"&amp;IDIOMA)</f>
        <v>ANCHO</v>
      </c>
      <c r="I2" s="121" t="str">
        <f ca="1">INDIRECT("Z_CI_09_"&amp;IDIOMA)</f>
        <v>ALTO</v>
      </c>
      <c r="J2" s="122" t="str">
        <f ca="1">INDIRECT("Z_CI_10_"&amp;IDIOMA)</f>
        <v>URL IMAGEN / CÓDIGO LÁTEX FÓRMULA</v>
      </c>
    </row>
    <row r="3" spans="1:11" ht="24.95" hidden="1" customHeight="1" thickTop="1" thickBot="1" x14ac:dyDescent="0.3">
      <c r="B3" s="10" t="s">
        <v>122</v>
      </c>
      <c r="C3" s="65">
        <f>ROW(TABLA_TEMAS[[#Headers],[TEMA]])</f>
        <v>3</v>
      </c>
      <c r="D3" s="2" t="s">
        <v>118</v>
      </c>
      <c r="E3" s="5" t="s">
        <v>123</v>
      </c>
      <c r="F3" s="1" t="s">
        <v>1</v>
      </c>
      <c r="G3" s="68" t="s">
        <v>142</v>
      </c>
      <c r="H3" s="5" t="s">
        <v>2</v>
      </c>
      <c r="I3" s="5" t="s">
        <v>3</v>
      </c>
      <c r="J3" s="5" t="s">
        <v>295</v>
      </c>
    </row>
    <row r="4" spans="1:11" ht="15.95" customHeight="1" thickTop="1" thickBot="1" x14ac:dyDescent="0.3">
      <c r="B4" s="117" t="s">
        <v>296</v>
      </c>
      <c r="C4" s="114">
        <f ca="1">IFERROR(INDIRECT(DATOS_IMAGEN[TEMA IMAGEN A MOSTRAR]&amp;"!F1"),"")</f>
        <v>10</v>
      </c>
      <c r="D4" s="115" t="s">
        <v>296</v>
      </c>
      <c r="E4" s="116" t="s">
        <v>307</v>
      </c>
      <c r="F4" s="96" t="str">
        <f ca="1">IFERROR(DATOS_IMAGEN[TEMA IMAGEN A MOSTRAR]&amp;"!"&amp;VLOOKUP(DATOS_IMAGEN[NOMBRE IMAGEN],INDIRECT("LISTA_"&amp;D4),1,0),"MAL")</f>
        <v>PERSONAJES!PROFE_HABLANDO_RÁPDIO</v>
      </c>
      <c r="G4" s="96" t="str">
        <f ca="1">IFERROR(VLOOKUP(DATOS_IMAGEN[NOMBRE IMAGEN],INDIRECT("TABLA_"&amp;D4),4,0),"MAL")</f>
        <v>Profe hablando rápdio</v>
      </c>
      <c r="H4" s="95"/>
      <c r="I4" s="95">
        <v>100</v>
      </c>
      <c r="J4" s="97" t="str">
        <f ca="1">IFERROR(VLOOKUP(DATOS_IMAGEN[NOMBRE IMAGEN],INDIRECT("TABLA_"&amp;D4),3,0),INDIRECT("Z_CI_16_" &amp;IDIOMA)&amp;D4)</f>
        <v>https://drive.google.com/file/d/1CRsgziMNd3qWTi6oSl2NJ2QlJmL2cmFq/view?usp=sharing</v>
      </c>
    </row>
    <row r="5" spans="1:11" ht="15.75" customHeight="1" x14ac:dyDescent="0.25">
      <c r="B5" s="117" t="s">
        <v>445</v>
      </c>
      <c r="D5" s="174" t="str">
        <f ca="1">INDIRECT("Z_CI_18_"&amp;IDIOMA)</f>
        <v>¡NO USAR CORTAR!  
  [Ctrl + X]</v>
      </c>
      <c r="E5" s="174"/>
      <c r="F5" s="174"/>
      <c r="G5" s="174"/>
      <c r="H5" s="174"/>
      <c r="I5" s="174"/>
      <c r="J5" s="75"/>
      <c r="K5" s="4" t="str">
        <f ca="1">K6&amp;K7&amp;K8</f>
        <v>1CRsgziMNd3qWTi6oSl2NJ2QlJmL2cmFq</v>
      </c>
    </row>
    <row r="6" spans="1:11" ht="15.95" customHeight="1" thickBot="1" x14ac:dyDescent="0.3">
      <c r="B6" s="117" t="s">
        <v>452</v>
      </c>
      <c r="D6" s="175" t="s">
        <v>144</v>
      </c>
      <c r="E6" s="175"/>
      <c r="F6" s="175"/>
      <c r="G6" s="175"/>
      <c r="H6" s="175"/>
      <c r="I6" s="175"/>
      <c r="J6" s="61" t="str">
        <f ca="1">INDIRECT("Z_CI_11_"&amp;IDIOMA)&amp;J2</f>
        <v>COPIAR URL IMAGEN / CÓDIGO LÁTEX FÓRMULA</v>
      </c>
      <c r="K6" s="4" t="str">
        <f ca="1">IFERROR(MID(DATOS_IMAGEN[URL_COD],FIND("id=",DATOS_IMAGEN[URL_COD],1)+3,33),"")</f>
        <v/>
      </c>
    </row>
    <row r="7" spans="1:11" ht="15.95" customHeight="1" thickTop="1" thickBot="1" x14ac:dyDescent="0.3">
      <c r="D7" s="175"/>
      <c r="E7" s="175"/>
      <c r="F7" s="175"/>
      <c r="G7" s="175"/>
      <c r="H7" s="175"/>
      <c r="I7" s="175"/>
      <c r="J7" s="71" t="str">
        <f ca="1">INDIRECT("Z_CI_12_"&amp;IDIOMA)</f>
        <v>CÓDIGO PARA INCRUSTAR IMAGEN</v>
      </c>
      <c r="K7" s="4" t="str">
        <f ca="1">IFERROR(MID(DATOS_IMAGEN[URL_COD],FIND("/d/",DATOS_IMAGEN[URL_COD],1)+3,33),"")</f>
        <v>1CRsgziMNd3qWTi6oSl2NJ2QlJmL2cmFq</v>
      </c>
    </row>
    <row r="8" spans="1:11" ht="15.95" customHeight="1" thickTop="1" x14ac:dyDescent="0.25">
      <c r="D8" s="175"/>
      <c r="E8" s="175"/>
      <c r="F8" s="175"/>
      <c r="G8" s="175"/>
      <c r="H8" s="175"/>
      <c r="I8" s="175"/>
      <c r="J8" s="108" t="str">
        <f ca="1">INDIRECT("Z_IN_02_"&amp;IDIOMA)</f>
        <v>VIDEO TUTORIAL</v>
      </c>
      <c r="K8" s="4" t="str">
        <f ca="1">IFERROR(MID(DATOS_IMAGEN[URL_COD],FIND("/s/",DATOS_IMAGEN[URL_COD],1)+3,1000),"")</f>
        <v/>
      </c>
    </row>
    <row r="9" spans="1:11" ht="15.95" customHeight="1" x14ac:dyDescent="0.25">
      <c r="D9" s="175"/>
      <c r="E9" s="175"/>
      <c r="F9" s="175"/>
      <c r="G9" s="175"/>
      <c r="H9" s="175"/>
      <c r="I9" s="175"/>
    </row>
    <row r="10" spans="1:11" ht="15.95" customHeight="1" x14ac:dyDescent="0.25">
      <c r="D10" s="175"/>
      <c r="E10" s="175"/>
      <c r="F10" s="175"/>
      <c r="G10" s="175"/>
      <c r="H10" s="175"/>
      <c r="I10" s="175"/>
      <c r="J10" s="162" t="str">
        <f ca="1">IF(C1=0,INDIRECT("Z_CI_21_"&amp;IDIOMA),IF(D4="",INDIRECT("Z_CI_20_"&amp;IDIOMA),IF(G4&lt;&gt;"MAL",INDIRECT("Z_CI_17_"&amp;IDIOMA)&amp;" =&gt;",INDIRECT("Z_CI_16_"&amp;IDIOMA))))</f>
        <v>PULSA PARA VER LA IMAGEN =&gt;</v>
      </c>
    </row>
    <row r="11" spans="1:11" ht="15.95" customHeight="1" x14ac:dyDescent="0.25">
      <c r="D11" s="175"/>
      <c r="E11" s="175"/>
      <c r="F11" s="175"/>
      <c r="G11" s="175"/>
      <c r="H11" s="175"/>
      <c r="I11" s="175"/>
      <c r="J11" s="162"/>
    </row>
    <row r="12" spans="1:11" ht="15.95" customHeight="1" x14ac:dyDescent="0.25">
      <c r="D12" s="175"/>
      <c r="E12" s="175"/>
      <c r="F12" s="175"/>
      <c r="G12" s="175"/>
      <c r="H12" s="175"/>
      <c r="I12" s="175"/>
      <c r="J12" s="162"/>
    </row>
    <row r="13" spans="1:11" ht="15.95" customHeight="1" thickBot="1" x14ac:dyDescent="0.3">
      <c r="D13" s="175"/>
      <c r="E13" s="175"/>
      <c r="F13" s="175"/>
      <c r="G13" s="175"/>
      <c r="H13" s="175"/>
      <c r="I13" s="175"/>
      <c r="J13" s="94" t="str">
        <f ca="1">IF(K14="DROPBOX",DROPBOX,DRIVE)</f>
        <v>http://drive.google.com/uc?export=view&amp;id=</v>
      </c>
    </row>
    <row r="14" spans="1:11" ht="15.95" customHeight="1" thickTop="1" x14ac:dyDescent="0.25">
      <c r="D14" s="175"/>
      <c r="E14" s="175"/>
      <c r="F14" s="175"/>
      <c r="G14" s="175"/>
      <c r="H14" s="175"/>
      <c r="I14" s="175"/>
      <c r="J14" s="109" t="s">
        <v>7</v>
      </c>
      <c r="K14" s="7" t="str">
        <f ca="1">IF(K15&amp;K17="DROPBOX",DROPBOX,DRIVE)</f>
        <v>http://drive.google.com/uc?export=view&amp;id=</v>
      </c>
    </row>
    <row r="15" spans="1:11" ht="15.95" customHeight="1" thickBot="1" x14ac:dyDescent="0.3">
      <c r="D15" s="175"/>
      <c r="E15" s="175"/>
      <c r="F15" s="175"/>
      <c r="G15" s="175"/>
      <c r="H15" s="175"/>
      <c r="I15" s="175"/>
      <c r="J15" s="110" t="s">
        <v>6</v>
      </c>
      <c r="K15" s="6" t="str">
        <f ca="1">IFERROR(IF(FIND("drive",DATOS_IMAGEN[URL_COD],1)&gt;1,"DRIVE",""),"")</f>
        <v>DRIVE</v>
      </c>
    </row>
    <row r="16" spans="1:11" ht="15.95" customHeight="1" thickTop="1" x14ac:dyDescent="0.25">
      <c r="D16" s="175"/>
      <c r="E16" s="175"/>
      <c r="F16" s="175"/>
      <c r="G16" s="175"/>
      <c r="H16" s="175"/>
      <c r="I16" s="175"/>
      <c r="J16" s="111" t="s">
        <v>8</v>
      </c>
    </row>
    <row r="17" spans="4:11" ht="15.95" customHeight="1" thickBot="1" x14ac:dyDescent="0.3">
      <c r="D17" s="175"/>
      <c r="E17" s="175"/>
      <c r="F17" s="175"/>
      <c r="G17" s="175"/>
      <c r="H17" s="175"/>
      <c r="I17" s="175"/>
      <c r="J17" s="110" t="s">
        <v>0</v>
      </c>
      <c r="K17" s="7" t="str">
        <f ca="1">IFERROR(IF(FIND("dropbox",DATOS_IMAGEN[URL_COD],1)&gt;1,"DROPBOX",""),"")</f>
        <v/>
      </c>
    </row>
    <row r="18" spans="4:11" ht="15.95" customHeight="1" thickTop="1" x14ac:dyDescent="0.25">
      <c r="D18" s="175"/>
      <c r="E18" s="175"/>
      <c r="F18" s="175"/>
      <c r="G18" s="175"/>
      <c r="H18" s="175"/>
      <c r="I18" s="175"/>
      <c r="J18" s="111" t="str">
        <f ca="1">INDIRECT("Z_CI_13_"&amp;IDIOMA)</f>
        <v xml:space="preserve">INCRUSTAR IMAGEN EN HTML: </v>
      </c>
    </row>
    <row r="19" spans="4:11" ht="15.95" customHeight="1" thickBot="1" x14ac:dyDescent="0.3">
      <c r="D19" s="175"/>
      <c r="E19" s="175"/>
      <c r="F19" s="175"/>
      <c r="G19" s="175"/>
      <c r="H19" s="175"/>
      <c r="I19" s="175"/>
      <c r="J19" s="112" t="str">
        <f ca="1">INDIRECT("Z_CI_19_" &amp; IDIOMA)</f>
        <v xml:space="preserve"> &lt;img src="URL_imagen" width="Ancho_pixels" height="Alto_pixels"&gt;</v>
      </c>
    </row>
    <row r="20" spans="4:11" ht="15.95" customHeight="1" thickTop="1" x14ac:dyDescent="0.25">
      <c r="D20" s="175"/>
      <c r="E20" s="175"/>
      <c r="F20" s="175"/>
      <c r="G20" s="175"/>
      <c r="H20" s="175"/>
      <c r="I20" s="175"/>
      <c r="J20" s="111" t="str">
        <f ca="1">INDIRECT("Z_CI_14_"&amp;IDIOMA)</f>
        <v xml:space="preserve">WEB PARA CREAR GIF: </v>
      </c>
    </row>
    <row r="21" spans="4:11" ht="15.95" customHeight="1" thickBot="1" x14ac:dyDescent="0.3">
      <c r="D21" s="175"/>
      <c r="E21" s="175"/>
      <c r="F21" s="175"/>
      <c r="G21" s="175"/>
      <c r="H21" s="175"/>
      <c r="I21" s="175"/>
      <c r="J21" s="110" t="s">
        <v>10</v>
      </c>
    </row>
    <row r="22" spans="4:11" ht="15.95" customHeight="1" thickTop="1" x14ac:dyDescent="0.25">
      <c r="D22" s="175"/>
      <c r="E22" s="175"/>
      <c r="F22" s="175"/>
      <c r="G22" s="175"/>
      <c r="H22" s="175"/>
      <c r="I22" s="175"/>
      <c r="J22" s="111" t="str">
        <f ca="1">INDIRECT("Z_CI_15_"&amp;IDIOMA)</f>
        <v xml:space="preserve">WEB PARA CREAR FÓRMULAS EN LÁTEX: </v>
      </c>
    </row>
    <row r="23" spans="4:11" ht="15.95" customHeight="1" thickBot="1" x14ac:dyDescent="0.3">
      <c r="D23" s="175"/>
      <c r="E23" s="175"/>
      <c r="F23" s="175"/>
      <c r="G23" s="175"/>
      <c r="H23" s="175"/>
      <c r="I23" s="175"/>
      <c r="J23" s="113" t="s">
        <v>11</v>
      </c>
    </row>
    <row r="24" spans="4:11" ht="15.95" customHeight="1" thickTop="1" thickBot="1" x14ac:dyDescent="0.3">
      <c r="D24" s="74"/>
      <c r="E24" s="74"/>
      <c r="F24" s="74"/>
      <c r="G24" s="74"/>
      <c r="H24" s="74"/>
      <c r="J24" s="70"/>
    </row>
    <row r="25" spans="4:11" ht="15.95" customHeight="1" thickTop="1" x14ac:dyDescent="0.25">
      <c r="D25" s="165" t="str">
        <f ca="1">IF(DATOS_IMAGEN[COMENTARIO]="MAL",INDIRECT("Z_CI_16_" &amp;IDIOMA)&amp;D4,DATOS_IMAGEN[COMENTARIO])</f>
        <v>Profe hablando rápdio</v>
      </c>
      <c r="E25" s="166"/>
      <c r="F25" s="166"/>
      <c r="G25" s="166"/>
      <c r="H25" s="166"/>
      <c r="I25" s="167"/>
      <c r="J25" s="176"/>
    </row>
    <row r="26" spans="4:11" ht="15.95" customHeight="1" x14ac:dyDescent="0.25">
      <c r="D26" s="168"/>
      <c r="E26" s="169"/>
      <c r="F26" s="169"/>
      <c r="G26" s="169"/>
      <c r="H26" s="169"/>
      <c r="I26" s="170"/>
      <c r="J26" s="176"/>
    </row>
    <row r="27" spans="4:11" ht="15.95" customHeight="1" thickBot="1" x14ac:dyDescent="0.3">
      <c r="D27" s="171"/>
      <c r="E27" s="172"/>
      <c r="F27" s="172"/>
      <c r="G27" s="172"/>
      <c r="H27" s="172"/>
      <c r="I27" s="173"/>
      <c r="J27" s="176"/>
    </row>
    <row r="28" spans="4:11" ht="15.95" customHeight="1" thickTop="1" x14ac:dyDescent="0.25">
      <c r="J28" s="70"/>
    </row>
    <row r="29" spans="4:11" ht="15.75" customHeight="1" x14ac:dyDescent="0.25"/>
  </sheetData>
  <sheetProtection algorithmName="SHA-512" hashValue="GWTiBWyW716ykcLsz41XIpw8UsdOhzMtp8aRdbP8A4dno4iToRRE/1qpSYjCXI0riy/BNlgkXQEbcAQGoG4rYQ==" saltValue="9WC2Ne4smZCzJqZv/C36Ww==" spinCount="100000" sheet="1" objects="1" scenarios="1" selectLockedCells="1"/>
  <mergeCells count="6">
    <mergeCell ref="J10:J12"/>
    <mergeCell ref="H1:I1"/>
    <mergeCell ref="D25:I27"/>
    <mergeCell ref="D5:I5"/>
    <mergeCell ref="D6:I23"/>
    <mergeCell ref="J25:J27"/>
  </mergeCells>
  <conditionalFormatting sqref="J4 D25">
    <cfRule type="expression" dxfId="23" priority="4">
      <formula>$G$4= "MAL"</formula>
    </cfRule>
  </conditionalFormatting>
  <conditionalFormatting sqref="E4">
    <cfRule type="expression" dxfId="22" priority="2">
      <formula>$G$4= "MAL"</formula>
    </cfRule>
  </conditionalFormatting>
  <dataValidations xWindow="892" yWindow="219" count="3">
    <dataValidation type="list" errorStyle="warning" allowBlank="1" promptTitle="NOMBRE IMAGEN" prompt="Selecciona el nombre de la imagen que quieres obtener." sqref="E4">
      <formula1>INDIRECT($C$2)</formula1>
    </dataValidation>
    <dataValidation type="whole" allowBlank="1" showInputMessage="1" showErrorMessage="1" errorTitle="[Min - Max]" error="[10 - 1000]" promptTitle="[Min - Max]" prompt="[10 - 1000]" sqref="H4:I4">
      <formula1>10</formula1>
      <formula2>1000</formula2>
    </dataValidation>
    <dataValidation type="list" allowBlank="1" showInputMessage="1" showErrorMessage="1" sqref="D4">
      <formula1>$B$4:$B$6</formula1>
    </dataValidation>
  </dataValidations>
  <pageMargins left="0.7" right="0.7" top="0.75" bottom="0.75" header="0.3" footer="0.3"/>
  <pageSetup paperSize="9" orientation="portrait" horizontalDpi="1200" verticalDpi="1200" r:id="rId1"/>
  <drawing r:id="rId2"/>
  <legacyDrawing r:id="rId3"/>
  <tableParts count="2">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T_02"/>
  <dimension ref="A1:G12"/>
  <sheetViews>
    <sheetView showGridLines="0" showRowColHeaders="0" zoomScale="115" zoomScaleNormal="115" workbookViewId="0">
      <pane xSplit="3" ySplit="2" topLeftCell="D3" activePane="bottomRight" state="frozen"/>
      <selection activeCell="B4" sqref="B4"/>
      <selection pane="topRight" activeCell="B4" sqref="B4"/>
      <selection pane="bottomLeft" activeCell="B4" sqref="B4"/>
      <selection pane="bottomRight" activeCell="D3" sqref="D3"/>
    </sheetView>
  </sheetViews>
  <sheetFormatPr baseColWidth="10" defaultColWidth="11.42578125" defaultRowHeight="15" x14ac:dyDescent="0.25"/>
  <cols>
    <col min="1" max="1" width="3.7109375" style="9" customWidth="1"/>
    <col min="2" max="2" width="40.7109375" style="9" customWidth="1"/>
    <col min="3" max="3" width="14.7109375" style="9" customWidth="1"/>
    <col min="4" max="5" width="60.7109375" style="9" customWidth="1"/>
    <col min="6" max="6" width="4.7109375" style="9" customWidth="1"/>
    <col min="7" max="7" width="9.140625" style="9" bestFit="1" customWidth="1"/>
    <col min="8" max="16384" width="11.42578125" style="9"/>
  </cols>
  <sheetData>
    <row r="1" spans="1:7" s="8" customFormat="1" ht="35.1" customHeight="1" thickBot="1" x14ac:dyDescent="0.3">
      <c r="A1" s="65" t="s">
        <v>31</v>
      </c>
      <c r="B1" s="159" t="str">
        <f ca="1">INDIRECT("Z_HT_01_"&amp;IDIOMA)</f>
        <v>IR A CONSULTAR IMAGEN</v>
      </c>
      <c r="C1" s="160"/>
      <c r="D1" s="93" t="str">
        <f ca="1">INDIRECT("Z_HT_02_"&amp;IDIOMA)</f>
        <v>INSERTAR NUEVA IMAGEN</v>
      </c>
      <c r="E1" s="87" t="str">
        <f ca="1">IF(F1=0,"",INDIRECT("Z_HT_03_"&amp;IDIOMA))</f>
        <v>BORRAR IMAGEN</v>
      </c>
      <c r="F1" s="84">
        <f ca="1">COUNTA(B:B)-2</f>
        <v>10</v>
      </c>
      <c r="G1" s="85" t="str">
        <f ca="1">INDIRECT("Z_HT_04_"&amp;IDIOMA)</f>
        <v>IMÁGENES</v>
      </c>
    </row>
    <row r="2" spans="1:7" s="8" customFormat="1" ht="30" customHeight="1" thickTop="1" thickBot="1" x14ac:dyDescent="0.3">
      <c r="A2" s="76" t="s">
        <v>280</v>
      </c>
      <c r="B2" s="98" t="s">
        <v>296</v>
      </c>
      <c r="C2" s="99" t="s">
        <v>1</v>
      </c>
      <c r="D2" s="99" t="s">
        <v>297</v>
      </c>
      <c r="E2" s="100" t="s">
        <v>141</v>
      </c>
      <c r="F2" s="161" t="str">
        <f ca="1">INDIRECT("Z_CI_18_"&amp;IDIOMA)</f>
        <v>¡NO USAR CORTAR!  
  [Ctrl + X]</v>
      </c>
      <c r="G2" s="161"/>
    </row>
    <row r="3" spans="1:7" ht="50.25" customHeight="1" thickTop="1" thickBot="1" x14ac:dyDescent="0.3">
      <c r="A3" s="80">
        <f t="shared" ref="A3:A12" si="0">ROW()-2</f>
        <v>1</v>
      </c>
      <c r="B3" s="78" t="s">
        <v>298</v>
      </c>
      <c r="C3" s="79"/>
      <c r="D3" s="101" t="s">
        <v>318</v>
      </c>
      <c r="E3" s="102" t="s">
        <v>308</v>
      </c>
    </row>
    <row r="4" spans="1:7" ht="50.25" customHeight="1" thickTop="1" thickBot="1" x14ac:dyDescent="0.3">
      <c r="A4" s="80">
        <f t="shared" si="0"/>
        <v>2</v>
      </c>
      <c r="B4" s="104" t="s">
        <v>299</v>
      </c>
      <c r="C4" s="103"/>
      <c r="D4" s="105" t="s">
        <v>319</v>
      </c>
      <c r="E4" s="106" t="s">
        <v>310</v>
      </c>
    </row>
    <row r="5" spans="1:7" ht="50.25" customHeight="1" thickTop="1" thickBot="1" x14ac:dyDescent="0.3">
      <c r="A5" s="80">
        <f t="shared" si="0"/>
        <v>3</v>
      </c>
      <c r="B5" s="107" t="s">
        <v>300</v>
      </c>
      <c r="C5" s="103"/>
      <c r="D5" s="105" t="s">
        <v>320</v>
      </c>
      <c r="E5" s="105" t="s">
        <v>311</v>
      </c>
    </row>
    <row r="6" spans="1:7" ht="50.25" customHeight="1" thickTop="1" thickBot="1" x14ac:dyDescent="0.3">
      <c r="A6" s="80">
        <f t="shared" si="0"/>
        <v>4</v>
      </c>
      <c r="B6" s="107" t="s">
        <v>301</v>
      </c>
      <c r="C6" s="103"/>
      <c r="D6" s="105" t="s">
        <v>321</v>
      </c>
      <c r="E6" s="105" t="s">
        <v>312</v>
      </c>
    </row>
    <row r="7" spans="1:7" ht="50.25" customHeight="1" thickTop="1" thickBot="1" x14ac:dyDescent="0.3">
      <c r="A7" s="80">
        <f t="shared" si="0"/>
        <v>5</v>
      </c>
      <c r="B7" s="107" t="s">
        <v>302</v>
      </c>
      <c r="C7" s="103"/>
      <c r="D7" s="105" t="s">
        <v>322</v>
      </c>
      <c r="E7" s="105" t="s">
        <v>313</v>
      </c>
    </row>
    <row r="8" spans="1:7" ht="50.25" customHeight="1" thickTop="1" thickBot="1" x14ac:dyDescent="0.3">
      <c r="A8" s="80">
        <f t="shared" si="0"/>
        <v>6</v>
      </c>
      <c r="B8" s="107" t="s">
        <v>303</v>
      </c>
      <c r="C8" s="103"/>
      <c r="D8" s="105" t="s">
        <v>323</v>
      </c>
      <c r="E8" s="105" t="s">
        <v>309</v>
      </c>
    </row>
    <row r="9" spans="1:7" ht="50.25" customHeight="1" thickTop="1" thickBot="1" x14ac:dyDescent="0.3">
      <c r="A9" s="80">
        <f t="shared" si="0"/>
        <v>7</v>
      </c>
      <c r="B9" s="107" t="s">
        <v>304</v>
      </c>
      <c r="C9" s="103"/>
      <c r="D9" s="105" t="s">
        <v>324</v>
      </c>
      <c r="E9" s="105" t="s">
        <v>314</v>
      </c>
    </row>
    <row r="10" spans="1:7" ht="50.25" customHeight="1" thickTop="1" thickBot="1" x14ac:dyDescent="0.3">
      <c r="A10" s="80">
        <f t="shared" si="0"/>
        <v>8</v>
      </c>
      <c r="B10" s="107" t="s">
        <v>305</v>
      </c>
      <c r="C10" s="103"/>
      <c r="D10" s="105" t="s">
        <v>325</v>
      </c>
      <c r="E10" s="105" t="s">
        <v>315</v>
      </c>
    </row>
    <row r="11" spans="1:7" ht="50.25" customHeight="1" thickTop="1" thickBot="1" x14ac:dyDescent="0.3">
      <c r="A11" s="80">
        <f t="shared" si="0"/>
        <v>9</v>
      </c>
      <c r="B11" s="107" t="s">
        <v>306</v>
      </c>
      <c r="C11" s="103"/>
      <c r="D11" s="105" t="s">
        <v>326</v>
      </c>
      <c r="E11" s="105" t="s">
        <v>316</v>
      </c>
    </row>
    <row r="12" spans="1:7" ht="50.25" customHeight="1" thickTop="1" x14ac:dyDescent="0.25">
      <c r="A12" s="80">
        <f t="shared" si="0"/>
        <v>10</v>
      </c>
      <c r="B12" s="107" t="s">
        <v>307</v>
      </c>
      <c r="C12" s="103"/>
      <c r="D12" s="105" t="s">
        <v>327</v>
      </c>
      <c r="E12" s="105" t="s">
        <v>317</v>
      </c>
    </row>
  </sheetData>
  <sheetProtection selectLockedCells="1"/>
  <mergeCells count="2">
    <mergeCell ref="B1:C1"/>
    <mergeCell ref="F2:G2"/>
  </mergeCells>
  <pageMargins left="0.7" right="0.7" top="0.75" bottom="0.75" header="0.3" footer="0.3"/>
  <pageSetup paperSize="9" orientation="portrait" horizontalDpi="1200" verticalDpi="12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T_03"/>
  <dimension ref="A1:G4"/>
  <sheetViews>
    <sheetView showGridLines="0" showRowColHeaders="0" zoomScale="115" zoomScaleNormal="115" workbookViewId="0">
      <pane xSplit="3" ySplit="2" topLeftCell="D3" activePane="bottomRight" state="frozen"/>
      <selection activeCell="B4" sqref="B4"/>
      <selection pane="topRight" activeCell="B4" sqref="B4"/>
      <selection pane="bottomLeft" activeCell="B4" sqref="B4"/>
      <selection pane="bottomRight" activeCell="D4" sqref="D4"/>
    </sheetView>
  </sheetViews>
  <sheetFormatPr baseColWidth="10" defaultColWidth="11.42578125" defaultRowHeight="15" x14ac:dyDescent="0.25"/>
  <cols>
    <col min="1" max="1" width="3.7109375" style="9" customWidth="1"/>
    <col min="2" max="2" width="40.7109375" style="9" customWidth="1"/>
    <col min="3" max="3" width="14.7109375" style="9" customWidth="1"/>
    <col min="4" max="5" width="60.7109375" style="9" customWidth="1"/>
    <col min="6" max="6" width="4.7109375" style="9" customWidth="1"/>
    <col min="7" max="7" width="9.140625" style="9" bestFit="1" customWidth="1"/>
    <col min="8" max="16384" width="11.42578125" style="9"/>
  </cols>
  <sheetData>
    <row r="1" spans="1:7" s="8" customFormat="1" ht="35.1" customHeight="1" thickBot="1" x14ac:dyDescent="0.3">
      <c r="A1" s="65" t="s">
        <v>31</v>
      </c>
      <c r="B1" s="159" t="str">
        <f ca="1">INDIRECT("Z_HT_01_"&amp;IDIOMA)</f>
        <v>IR A CONSULTAR IMAGEN</v>
      </c>
      <c r="C1" s="160"/>
      <c r="D1" s="128" t="str">
        <f ca="1">INDIRECT("Z_HT_02_"&amp;IDIOMA)</f>
        <v>INSERTAR NUEVA IMAGEN</v>
      </c>
      <c r="E1" s="87" t="str">
        <f ca="1">IF(F1=0,"",INDIRECT("Z_HT_03_"&amp;IDIOMA))</f>
        <v>BORRAR IMAGEN</v>
      </c>
      <c r="F1" s="84">
        <f ca="1">COUNTA(B:B)-2</f>
        <v>2</v>
      </c>
      <c r="G1" s="85" t="str">
        <f ca="1">INDIRECT("Z_HT_04_"&amp;IDIOMA)</f>
        <v>IMÁGENES</v>
      </c>
    </row>
    <row r="2" spans="1:7" s="8" customFormat="1" ht="30" customHeight="1" thickTop="1" thickBot="1" x14ac:dyDescent="0.3">
      <c r="A2" s="76" t="s">
        <v>280</v>
      </c>
      <c r="B2" s="98" t="s">
        <v>445</v>
      </c>
      <c r="C2" s="99" t="s">
        <v>1</v>
      </c>
      <c r="D2" s="99" t="s">
        <v>297</v>
      </c>
      <c r="E2" s="100" t="s">
        <v>141</v>
      </c>
      <c r="F2" s="161" t="str">
        <f ca="1">INDIRECT("Z_CI_18_"&amp;IDIOMA)</f>
        <v>¡NO USAR CORTAR!  
  [Ctrl + X]</v>
      </c>
      <c r="G2" s="161"/>
    </row>
    <row r="3" spans="1:7" ht="50.25" customHeight="1" thickTop="1" thickBot="1" x14ac:dyDescent="0.3">
      <c r="A3" s="80">
        <f>ROW()-2</f>
        <v>1</v>
      </c>
      <c r="B3" s="78" t="s">
        <v>446</v>
      </c>
      <c r="C3" s="79"/>
      <c r="D3" s="101" t="s">
        <v>447</v>
      </c>
      <c r="E3" s="102" t="s">
        <v>448</v>
      </c>
    </row>
    <row r="4" spans="1:7" ht="50.25" customHeight="1" thickTop="1" x14ac:dyDescent="0.25">
      <c r="A4" s="80">
        <f>ROW()-2</f>
        <v>2</v>
      </c>
      <c r="B4" s="104" t="s">
        <v>449</v>
      </c>
      <c r="C4" s="103"/>
      <c r="D4" s="105" t="s">
        <v>450</v>
      </c>
      <c r="E4" s="106" t="s">
        <v>451</v>
      </c>
    </row>
  </sheetData>
  <sheetProtection algorithmName="SHA-512" hashValue="pP6HitUSvUk+LA+X7/3PUvMmgUR1q3eeBKcHPjcDRZ5JXvhOapxL1VQbsvt/shHjKeo95TZGD+CkIP3sUPeLxQ==" saltValue="yeiMIQDrcMRVZVkTqdP8bw==" spinCount="100000" sheet="1" objects="1" scenarios="1" selectLockedCells="1"/>
  <mergeCells count="2">
    <mergeCell ref="B1:C1"/>
    <mergeCell ref="F2:G2"/>
  </mergeCells>
  <pageMargins left="0.7" right="0.7" top="0.75" bottom="0.75" header="0.3" footer="0.3"/>
  <pageSetup paperSize="9"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T_04"/>
  <dimension ref="A1:G6"/>
  <sheetViews>
    <sheetView showGridLines="0" showRowColHeaders="0" zoomScale="115" zoomScaleNormal="115" workbookViewId="0">
      <pane xSplit="3" ySplit="2" topLeftCell="D3" activePane="bottomRight" state="frozen"/>
      <selection activeCell="B4" sqref="B4"/>
      <selection pane="topRight" activeCell="B4" sqref="B4"/>
      <selection pane="bottomLeft" activeCell="B4" sqref="B4"/>
      <selection pane="bottomRight" activeCell="D3" sqref="D3"/>
    </sheetView>
  </sheetViews>
  <sheetFormatPr baseColWidth="10" defaultColWidth="11.42578125" defaultRowHeight="15" x14ac:dyDescent="0.25"/>
  <cols>
    <col min="1" max="1" width="3.7109375" style="9" customWidth="1"/>
    <col min="2" max="2" width="40.7109375" style="9" customWidth="1"/>
    <col min="3" max="3" width="14.7109375" style="9" customWidth="1"/>
    <col min="4" max="5" width="60.7109375" style="9" customWidth="1"/>
    <col min="6" max="6" width="4.7109375" style="9" customWidth="1"/>
    <col min="7" max="7" width="9.140625" style="9" bestFit="1" customWidth="1"/>
    <col min="8" max="16384" width="11.42578125" style="9"/>
  </cols>
  <sheetData>
    <row r="1" spans="1:7" s="8" customFormat="1" ht="35.1" customHeight="1" thickBot="1" x14ac:dyDescent="0.3">
      <c r="A1" s="65" t="s">
        <v>31</v>
      </c>
      <c r="B1" s="159" t="str">
        <f ca="1">INDIRECT("Z_HT_01_"&amp;IDIOMA)</f>
        <v>IR A CONSULTAR IMAGEN</v>
      </c>
      <c r="C1" s="160"/>
      <c r="D1" s="128" t="str">
        <f ca="1">INDIRECT("Z_HT_02_"&amp;IDIOMA)</f>
        <v>INSERTAR NUEVA IMAGEN</v>
      </c>
      <c r="E1" s="87" t="str">
        <f ca="1">IF(F1=0,"",INDIRECT("Z_HT_03_"&amp;IDIOMA))</f>
        <v>BORRAR IMAGEN</v>
      </c>
      <c r="F1" s="84">
        <f ca="1">COUNTA(B:B)-2</f>
        <v>4</v>
      </c>
      <c r="G1" s="85" t="str">
        <f ca="1">INDIRECT("Z_HT_04_"&amp;IDIOMA)</f>
        <v>IMÁGENES</v>
      </c>
    </row>
    <row r="2" spans="1:7" s="8" customFormat="1" ht="30" customHeight="1" thickTop="1" thickBot="1" x14ac:dyDescent="0.3">
      <c r="A2" s="76" t="s">
        <v>280</v>
      </c>
      <c r="B2" s="98" t="s">
        <v>452</v>
      </c>
      <c r="C2" s="99" t="s">
        <v>1</v>
      </c>
      <c r="D2" s="99" t="s">
        <v>297</v>
      </c>
      <c r="E2" s="100" t="s">
        <v>141</v>
      </c>
      <c r="F2" s="161" t="str">
        <f ca="1">INDIRECT("Z_CI_18_"&amp;IDIOMA)</f>
        <v>¡NO USAR CORTAR!  
  [Ctrl + X]</v>
      </c>
      <c r="G2" s="161"/>
    </row>
    <row r="3" spans="1:7" ht="50.25" customHeight="1" thickTop="1" thickBot="1" x14ac:dyDescent="0.3">
      <c r="A3" s="80">
        <f>ROW()-2</f>
        <v>1</v>
      </c>
      <c r="B3" s="78" t="s">
        <v>453</v>
      </c>
      <c r="C3" s="79"/>
      <c r="D3" s="101" t="s">
        <v>454</v>
      </c>
      <c r="E3" s="102" t="s">
        <v>455</v>
      </c>
    </row>
    <row r="4" spans="1:7" ht="50.25" customHeight="1" thickTop="1" thickBot="1" x14ac:dyDescent="0.3">
      <c r="A4" s="80">
        <f>ROW()-2</f>
        <v>2</v>
      </c>
      <c r="B4" s="104" t="s">
        <v>456</v>
      </c>
      <c r="C4" s="103"/>
      <c r="D4" s="105" t="s">
        <v>459</v>
      </c>
      <c r="E4" s="106" t="s">
        <v>462</v>
      </c>
    </row>
    <row r="5" spans="1:7" ht="50.25" customHeight="1" thickTop="1" thickBot="1" x14ac:dyDescent="0.3">
      <c r="A5" s="80">
        <f>ROW()-2</f>
        <v>3</v>
      </c>
      <c r="B5" s="107" t="s">
        <v>457</v>
      </c>
      <c r="C5" s="103"/>
      <c r="D5" s="105" t="s">
        <v>460</v>
      </c>
      <c r="E5" s="105" t="s">
        <v>463</v>
      </c>
    </row>
    <row r="6" spans="1:7" ht="50.25" customHeight="1" thickTop="1" x14ac:dyDescent="0.25">
      <c r="A6" s="80">
        <f>ROW()-2</f>
        <v>4</v>
      </c>
      <c r="B6" s="107" t="s">
        <v>458</v>
      </c>
      <c r="C6" s="103"/>
      <c r="D6" s="105" t="s">
        <v>461</v>
      </c>
      <c r="E6" s="105" t="s">
        <v>464</v>
      </c>
    </row>
  </sheetData>
  <sheetProtection algorithmName="SHA-512" hashValue="U3f7Qc0jOGSqSWlDdscQocdYFovRyDk/CrbgqDnFuH94/CHF5eiT+EqfCEp6oD8OYbytbK8hYqY3O33UPTFi9A==" saltValue="yekKQ4wwXSSAV8ODqiUvBw==" spinCount="100000" sheet="1" objects="1" scenarios="1" selectLockedCells="1"/>
  <mergeCells count="2">
    <mergeCell ref="B1:C1"/>
    <mergeCell ref="F2:G2"/>
  </mergeCells>
  <pageMargins left="0.7" right="0.7" top="0.75" bottom="0.75" header="0.3" footer="0.3"/>
  <pageSetup paperSize="9" orientation="portrait" horizontalDpi="1200" verticalDpi="120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526</vt:i4>
      </vt:variant>
    </vt:vector>
  </HeadingPairs>
  <TitlesOfParts>
    <vt:vector size="533" baseType="lpstr">
      <vt:lpstr>DICCIONARIO</vt:lpstr>
      <vt:lpstr>INICIO</vt:lpstr>
      <vt:lpstr>HOJA_TIPO_NUEVO_TEMA</vt:lpstr>
      <vt:lpstr>CONSULTAR IMAGEN</vt:lpstr>
      <vt:lpstr>PERSONAJES</vt:lpstr>
      <vt:lpstr>T_FORMULAS</vt:lpstr>
      <vt:lpstr>T_TEXTO_EN_IMAGEN</vt:lpstr>
      <vt:lpstr>AUTOR</vt:lpstr>
      <vt:lpstr>CODIGO_IMAGEN</vt:lpstr>
      <vt:lpstr>DRIVE</vt:lpstr>
      <vt:lpstr>DRIVE_DROPBOX</vt:lpstr>
      <vt:lpstr>DROPBOX</vt:lpstr>
      <vt:lpstr>F_TEMA</vt:lpstr>
      <vt:lpstr>T_TEXTO_EN_IMAGEN!I_Beige</vt:lpstr>
      <vt:lpstr>T_TEXTO_EN_IMAGEN!I_Blanco</vt:lpstr>
      <vt:lpstr>T_TEXTO_EN_IMAGEN!I_CABALLO_BLANCO</vt:lpstr>
      <vt:lpstr>T_FORMULAS!I_FRACCIÓN</vt:lpstr>
      <vt:lpstr>T_TEXTO_EN_IMAGEN!I_Negro</vt:lpstr>
      <vt:lpstr>T_FORMULAS!I_TRIGONOMETRÍA</vt:lpstr>
      <vt:lpstr>IDIOMA</vt:lpstr>
      <vt:lpstr>LANGUAGE</vt:lpstr>
      <vt:lpstr>LISTA_PERSONAJES</vt:lpstr>
      <vt:lpstr>LISTA_T_FORMULAS</vt:lpstr>
      <vt:lpstr>LISTA_T_TEXTO_EN_IMAGEN</vt:lpstr>
      <vt:lpstr>N_TEMAS</vt:lpstr>
      <vt:lpstr>PERSONAJES!NIÑO_1</vt:lpstr>
      <vt:lpstr>PERSONAJES!NIÑO_2</vt:lpstr>
      <vt:lpstr>PERSONAJES!NIÑO_3</vt:lpstr>
      <vt:lpstr>PERSONAJES!NIÑO_HABLANDO_LENTO</vt:lpstr>
      <vt:lpstr>PERSONAJES!NIÑO_HABLANDO_RÁPIDO</vt:lpstr>
      <vt:lpstr>NOMBRE_PRG</vt:lpstr>
      <vt:lpstr>PREGUNTAR_IDIOMA</vt:lpstr>
      <vt:lpstr>PERSONAJES!PROFE_1</vt:lpstr>
      <vt:lpstr>PERSONAJES!PROFE_2</vt:lpstr>
      <vt:lpstr>PERSONAJES!PROFE_3</vt:lpstr>
      <vt:lpstr>PERSONAJES!PROFE_HABLANDO_LENTO</vt:lpstr>
      <vt:lpstr>PERSONAJES!PROFE_HABLANDO_RÁPDIO</vt:lpstr>
      <vt:lpstr>Z_CI_00_</vt:lpstr>
      <vt:lpstr>Z_CI_00_D</vt:lpstr>
      <vt:lpstr>Z_CI_00_E</vt:lpstr>
      <vt:lpstr>Z_CI_00_F</vt:lpstr>
      <vt:lpstr>Z_CI_00_I</vt:lpstr>
      <vt:lpstr>Z_CI_00_O</vt:lpstr>
      <vt:lpstr>Z_CI_00_P</vt:lpstr>
      <vt:lpstr>Z_CI_00_S</vt:lpstr>
      <vt:lpstr>Z_CI_01_</vt:lpstr>
      <vt:lpstr>Z_CI_01_D</vt:lpstr>
      <vt:lpstr>Z_CI_01_E</vt:lpstr>
      <vt:lpstr>Z_CI_01_F</vt:lpstr>
      <vt:lpstr>Z_CI_01_I</vt:lpstr>
      <vt:lpstr>Z_CI_01_O</vt:lpstr>
      <vt:lpstr>Z_CI_01_P</vt:lpstr>
      <vt:lpstr>Z_CI_01_S</vt:lpstr>
      <vt:lpstr>Z_CI_02_</vt:lpstr>
      <vt:lpstr>Z_CI_02_D</vt:lpstr>
      <vt:lpstr>Z_CI_02_E</vt:lpstr>
      <vt:lpstr>Z_CI_02_F</vt:lpstr>
      <vt:lpstr>Z_CI_02_I</vt:lpstr>
      <vt:lpstr>Z_CI_02_O</vt:lpstr>
      <vt:lpstr>Z_CI_02_P</vt:lpstr>
      <vt:lpstr>Z_CI_02_S</vt:lpstr>
      <vt:lpstr>Z_CI_03_</vt:lpstr>
      <vt:lpstr>Z_CI_03_D</vt:lpstr>
      <vt:lpstr>Z_CI_03_E</vt:lpstr>
      <vt:lpstr>Z_CI_03_F</vt:lpstr>
      <vt:lpstr>Z_CI_03_I</vt:lpstr>
      <vt:lpstr>Z_CI_03_O</vt:lpstr>
      <vt:lpstr>Z_CI_03_P</vt:lpstr>
      <vt:lpstr>Z_CI_03_S</vt:lpstr>
      <vt:lpstr>Z_CI_04_</vt:lpstr>
      <vt:lpstr>Z_CI_04_D</vt:lpstr>
      <vt:lpstr>Z_CI_04_E</vt:lpstr>
      <vt:lpstr>Z_CI_04_F</vt:lpstr>
      <vt:lpstr>Z_CI_04_I</vt:lpstr>
      <vt:lpstr>Z_CI_04_O</vt:lpstr>
      <vt:lpstr>Z_CI_04_P</vt:lpstr>
      <vt:lpstr>Z_CI_04_S</vt:lpstr>
      <vt:lpstr>Z_CI_05_</vt:lpstr>
      <vt:lpstr>Z_CI_05_D</vt:lpstr>
      <vt:lpstr>Z_CI_05_E</vt:lpstr>
      <vt:lpstr>Z_CI_05_F</vt:lpstr>
      <vt:lpstr>Z_CI_05_I</vt:lpstr>
      <vt:lpstr>Z_CI_05_O</vt:lpstr>
      <vt:lpstr>Z_CI_05_P</vt:lpstr>
      <vt:lpstr>Z_CI_05_S</vt:lpstr>
      <vt:lpstr>Z_CI_06_</vt:lpstr>
      <vt:lpstr>Z_CI_06_D</vt:lpstr>
      <vt:lpstr>Z_CI_06_E</vt:lpstr>
      <vt:lpstr>Z_CI_06_F</vt:lpstr>
      <vt:lpstr>Z_CI_06_I</vt:lpstr>
      <vt:lpstr>Z_CI_06_O</vt:lpstr>
      <vt:lpstr>Z_CI_06_P</vt:lpstr>
      <vt:lpstr>Z_CI_06_S</vt:lpstr>
      <vt:lpstr>Z_CI_07_</vt:lpstr>
      <vt:lpstr>Z_CI_07_D</vt:lpstr>
      <vt:lpstr>Z_CI_07_E</vt:lpstr>
      <vt:lpstr>Z_CI_07_F</vt:lpstr>
      <vt:lpstr>Z_CI_07_I</vt:lpstr>
      <vt:lpstr>Z_CI_07_O</vt:lpstr>
      <vt:lpstr>Z_CI_07_P</vt:lpstr>
      <vt:lpstr>Z_CI_07_S</vt:lpstr>
      <vt:lpstr>Z_CI_08_</vt:lpstr>
      <vt:lpstr>Z_CI_08_D</vt:lpstr>
      <vt:lpstr>Z_CI_08_E</vt:lpstr>
      <vt:lpstr>Z_CI_08_F</vt:lpstr>
      <vt:lpstr>Z_CI_08_I</vt:lpstr>
      <vt:lpstr>Z_CI_08_O</vt:lpstr>
      <vt:lpstr>Z_CI_08_P</vt:lpstr>
      <vt:lpstr>Z_CI_08_S</vt:lpstr>
      <vt:lpstr>Z_CI_09_</vt:lpstr>
      <vt:lpstr>Z_CI_09_D</vt:lpstr>
      <vt:lpstr>Z_CI_09_E</vt:lpstr>
      <vt:lpstr>Z_CI_09_F</vt:lpstr>
      <vt:lpstr>Z_CI_09_I</vt:lpstr>
      <vt:lpstr>Z_CI_09_O</vt:lpstr>
      <vt:lpstr>Z_CI_09_P</vt:lpstr>
      <vt:lpstr>Z_CI_09_S</vt:lpstr>
      <vt:lpstr>Z_CI_10_</vt:lpstr>
      <vt:lpstr>Z_CI_10_D</vt:lpstr>
      <vt:lpstr>Z_CI_10_E</vt:lpstr>
      <vt:lpstr>Z_CI_10_F</vt:lpstr>
      <vt:lpstr>Z_CI_10_I</vt:lpstr>
      <vt:lpstr>Z_CI_10_O</vt:lpstr>
      <vt:lpstr>Z_CI_10_P</vt:lpstr>
      <vt:lpstr>Z_CI_10_S</vt:lpstr>
      <vt:lpstr>Z_CI_11_</vt:lpstr>
      <vt:lpstr>Z_CI_11_D</vt:lpstr>
      <vt:lpstr>Z_CI_11_E</vt:lpstr>
      <vt:lpstr>Z_CI_11_F</vt:lpstr>
      <vt:lpstr>Z_CI_11_I</vt:lpstr>
      <vt:lpstr>Z_CI_11_O</vt:lpstr>
      <vt:lpstr>Z_CI_11_P</vt:lpstr>
      <vt:lpstr>Z_CI_11_S</vt:lpstr>
      <vt:lpstr>Z_CI_12_</vt:lpstr>
      <vt:lpstr>Z_CI_12_D</vt:lpstr>
      <vt:lpstr>Z_CI_12_E</vt:lpstr>
      <vt:lpstr>Z_CI_12_F</vt:lpstr>
      <vt:lpstr>Z_CI_12_I</vt:lpstr>
      <vt:lpstr>Z_CI_12_O</vt:lpstr>
      <vt:lpstr>Z_CI_12_P</vt:lpstr>
      <vt:lpstr>Z_CI_12_S</vt:lpstr>
      <vt:lpstr>Z_CI_13_</vt:lpstr>
      <vt:lpstr>Z_CI_13_D</vt:lpstr>
      <vt:lpstr>Z_CI_13_E</vt:lpstr>
      <vt:lpstr>Z_CI_13_F</vt:lpstr>
      <vt:lpstr>Z_CI_13_I</vt:lpstr>
      <vt:lpstr>Z_CI_13_O</vt:lpstr>
      <vt:lpstr>Z_CI_13_P</vt:lpstr>
      <vt:lpstr>Z_CI_13_S</vt:lpstr>
      <vt:lpstr>Z_CI_14_</vt:lpstr>
      <vt:lpstr>Z_CI_14_D</vt:lpstr>
      <vt:lpstr>Z_CI_14_E</vt:lpstr>
      <vt:lpstr>Z_CI_14_F</vt:lpstr>
      <vt:lpstr>Z_CI_14_I</vt:lpstr>
      <vt:lpstr>Z_CI_14_O</vt:lpstr>
      <vt:lpstr>Z_CI_14_P</vt:lpstr>
      <vt:lpstr>Z_CI_14_S</vt:lpstr>
      <vt:lpstr>Z_CI_15_</vt:lpstr>
      <vt:lpstr>Z_CI_15_D</vt:lpstr>
      <vt:lpstr>Z_CI_15_E</vt:lpstr>
      <vt:lpstr>Z_CI_15_F</vt:lpstr>
      <vt:lpstr>Z_CI_15_I</vt:lpstr>
      <vt:lpstr>Z_CI_15_O</vt:lpstr>
      <vt:lpstr>Z_CI_15_P</vt:lpstr>
      <vt:lpstr>Z_CI_15_S</vt:lpstr>
      <vt:lpstr>Z_CI_16_</vt:lpstr>
      <vt:lpstr>Z_CI_16_D</vt:lpstr>
      <vt:lpstr>Z_CI_16_E</vt:lpstr>
      <vt:lpstr>Z_CI_16_F</vt:lpstr>
      <vt:lpstr>Z_CI_16_I</vt:lpstr>
      <vt:lpstr>Z_CI_16_O</vt:lpstr>
      <vt:lpstr>Z_CI_16_P</vt:lpstr>
      <vt:lpstr>Z_CI_16_S</vt:lpstr>
      <vt:lpstr>Z_CI_17_</vt:lpstr>
      <vt:lpstr>Z_CI_17_D</vt:lpstr>
      <vt:lpstr>Z_CI_17_E</vt:lpstr>
      <vt:lpstr>Z_CI_17_F</vt:lpstr>
      <vt:lpstr>Z_CI_17_I</vt:lpstr>
      <vt:lpstr>Z_CI_17_O</vt:lpstr>
      <vt:lpstr>Z_CI_17_P</vt:lpstr>
      <vt:lpstr>Z_CI_17_S</vt:lpstr>
      <vt:lpstr>Z_CI_18_</vt:lpstr>
      <vt:lpstr>Z_CI_18_D</vt:lpstr>
      <vt:lpstr>Z_CI_18_E</vt:lpstr>
      <vt:lpstr>Z_CI_18_F</vt:lpstr>
      <vt:lpstr>Z_CI_18_I</vt:lpstr>
      <vt:lpstr>Z_CI_18_O</vt:lpstr>
      <vt:lpstr>Z_CI_18_P</vt:lpstr>
      <vt:lpstr>Z_CI_18_S</vt:lpstr>
      <vt:lpstr>Z_CI_19_</vt:lpstr>
      <vt:lpstr>Z_CI_19_D</vt:lpstr>
      <vt:lpstr>Z_CI_19_E</vt:lpstr>
      <vt:lpstr>Z_CI_19_F</vt:lpstr>
      <vt:lpstr>Z_CI_19_I</vt:lpstr>
      <vt:lpstr>Z_CI_19_O</vt:lpstr>
      <vt:lpstr>Z_CI_19_P</vt:lpstr>
      <vt:lpstr>Z_CI_19_S</vt:lpstr>
      <vt:lpstr>Z_CI_20_</vt:lpstr>
      <vt:lpstr>Z_CI_20_D</vt:lpstr>
      <vt:lpstr>Z_CI_20_E</vt:lpstr>
      <vt:lpstr>Z_CI_20_F</vt:lpstr>
      <vt:lpstr>Z_CI_20_I</vt:lpstr>
      <vt:lpstr>Z_CI_20_O</vt:lpstr>
      <vt:lpstr>Z_CI_20_P</vt:lpstr>
      <vt:lpstr>Z_CI_20_S</vt:lpstr>
      <vt:lpstr>Z_CI_21_</vt:lpstr>
      <vt:lpstr>Z_CI_21_D</vt:lpstr>
      <vt:lpstr>Z_CI_21_E</vt:lpstr>
      <vt:lpstr>Z_CI_21_F</vt:lpstr>
      <vt:lpstr>Z_CI_21_I</vt:lpstr>
      <vt:lpstr>Z_CI_21_O</vt:lpstr>
      <vt:lpstr>Z_CI_21_P</vt:lpstr>
      <vt:lpstr>Z_CI_21_S</vt:lpstr>
      <vt:lpstr>Z_HT_01_</vt:lpstr>
      <vt:lpstr>Z_HT_01_D</vt:lpstr>
      <vt:lpstr>Z_HT_01_E</vt:lpstr>
      <vt:lpstr>Z_HT_01_F</vt:lpstr>
      <vt:lpstr>Z_HT_01_I</vt:lpstr>
      <vt:lpstr>Z_HT_01_O</vt:lpstr>
      <vt:lpstr>Z_HT_01_P</vt:lpstr>
      <vt:lpstr>Z_HT_01_S</vt:lpstr>
      <vt:lpstr>Z_HT_02_</vt:lpstr>
      <vt:lpstr>Z_HT_02_D</vt:lpstr>
      <vt:lpstr>Z_HT_02_E</vt:lpstr>
      <vt:lpstr>Z_HT_02_F</vt:lpstr>
      <vt:lpstr>Z_HT_02_I</vt:lpstr>
      <vt:lpstr>Z_HT_02_O</vt:lpstr>
      <vt:lpstr>Z_HT_02_P</vt:lpstr>
      <vt:lpstr>Z_HT_02_S</vt:lpstr>
      <vt:lpstr>Z_HT_03_</vt:lpstr>
      <vt:lpstr>Z_HT_03_D</vt:lpstr>
      <vt:lpstr>Z_HT_03_E</vt:lpstr>
      <vt:lpstr>Z_HT_03_F</vt:lpstr>
      <vt:lpstr>Z_HT_03_I</vt:lpstr>
      <vt:lpstr>Z_HT_03_O</vt:lpstr>
      <vt:lpstr>Z_HT_03_P</vt:lpstr>
      <vt:lpstr>Z_HT_03_S</vt:lpstr>
      <vt:lpstr>Z_HT_04_</vt:lpstr>
      <vt:lpstr>Z_HT_04_D</vt:lpstr>
      <vt:lpstr>Z_HT_04_E</vt:lpstr>
      <vt:lpstr>Z_HT_04_F</vt:lpstr>
      <vt:lpstr>Z_HT_04_I</vt:lpstr>
      <vt:lpstr>Z_HT_04_O</vt:lpstr>
      <vt:lpstr>Z_HT_04_P</vt:lpstr>
      <vt:lpstr>Z_HT_04_S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Z_TX_00_</vt:lpstr>
      <vt:lpstr>Z_TX_00_1_</vt:lpstr>
      <vt:lpstr>Z_TX_00_1_D</vt:lpstr>
      <vt:lpstr>Z_TX_00_1_E</vt:lpstr>
      <vt:lpstr>Z_TX_00_1_F</vt:lpstr>
      <vt:lpstr>Z_TX_00_1_I</vt:lpstr>
      <vt:lpstr>Z_TX_00_1_O</vt:lpstr>
      <vt:lpstr>Z_TX_00_1_P</vt:lpstr>
      <vt:lpstr>Z_TX_00_1_S</vt:lpstr>
      <vt:lpstr>Z_TX_00_2_</vt:lpstr>
      <vt:lpstr>Z_TX_00_2_D</vt:lpstr>
      <vt:lpstr>Z_TX_00_2_E</vt:lpstr>
      <vt:lpstr>Z_TX_00_2_F</vt:lpstr>
      <vt:lpstr>Z_TX_00_2_I</vt:lpstr>
      <vt:lpstr>Z_TX_00_2_O</vt:lpstr>
      <vt:lpstr>Z_TX_00_2_P</vt:lpstr>
      <vt:lpstr>Z_TX_00_2_S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Z_TX_03_D</vt:lpstr>
      <vt:lpstr>Z_TX_03_E</vt:lpstr>
      <vt:lpstr>Z_TX_03_F</vt:lpstr>
      <vt:lpstr>Z_TX_03_I</vt:lpstr>
      <vt:lpstr>Z_TX_03_O</vt:lpstr>
      <vt:lpstr>Z_TX_03_P</vt:lpstr>
      <vt:lpstr>Z_TX_03_S</vt:lpstr>
      <vt:lpstr>Z_TX_04_</vt:lpstr>
      <vt:lpstr>Z_TX_04_D</vt:lpstr>
      <vt:lpstr>Z_TX_04_E</vt:lpstr>
      <vt:lpstr>Z_TX_04_F</vt:lpstr>
      <vt:lpstr>Z_TX_04_I</vt:lpstr>
      <vt:lpstr>Z_TX_04_O</vt:lpstr>
      <vt:lpstr>Z_TX_04_P</vt:lpstr>
      <vt:lpstr>Z_TX_04_S</vt:lpstr>
      <vt:lpstr>Z_TX_05_</vt:lpstr>
      <vt:lpstr>Z_TX_05_D</vt:lpstr>
      <vt:lpstr>Z_TX_05_E</vt:lpstr>
      <vt:lpstr>Z_TX_05_F</vt:lpstr>
      <vt:lpstr>Z_TX_05_I</vt:lpstr>
      <vt:lpstr>Z_TX_05_O</vt:lpstr>
      <vt:lpstr>Z_TX_05_P</vt:lpstr>
      <vt:lpstr>Z_TX_05_S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vt:lpstr>
      <vt:lpstr>Z_TX_08_D</vt:lpstr>
      <vt:lpstr>Z_TX_08_E</vt:lpstr>
      <vt:lpstr>Z_TX_08_F</vt:lpstr>
      <vt:lpstr>Z_TX_08_I</vt:lpstr>
      <vt:lpstr>Z_TX_08_O</vt:lpstr>
      <vt:lpstr>Z_TX_08_P</vt:lpstr>
      <vt:lpstr>Z_TX_08_S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Milagros Huerta Gómez de Merodio</dc:creator>
  <cp:lastModifiedBy>Milagros Huerta Gómez de Merodio</cp:lastModifiedBy>
  <dcterms:created xsi:type="dcterms:W3CDTF">2020-12-22T09:34:32Z</dcterms:created>
  <dcterms:modified xsi:type="dcterms:W3CDTF">2021-09-03T10:33:29Z</dcterms:modified>
</cp:coreProperties>
</file>