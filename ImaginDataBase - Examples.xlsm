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AHGM\FastTest PlugIn\"/>
    </mc:Choice>
  </mc:AlternateContent>
  <bookViews>
    <workbookView showHorizontalScroll="0" showVerticalScroll="0" showSheetTabs="0" xWindow="0" yWindow="0" windowWidth="24000" windowHeight="9615" tabRatio="733"/>
  </bookViews>
  <sheets>
    <sheet name="CONSULTAR IMAGEN" sheetId="2" r:id="rId1"/>
    <sheet name="FÓRMULAS" sheetId="15" state="hidden" r:id="rId2"/>
    <sheet name="PERSONAJES" sheetId="14" state="hidden" r:id="rId3"/>
    <sheet name="HOJA_TIPO_NUEVA_TEMATICA" sheetId="10" state="hidden" r:id="rId4"/>
  </sheets>
  <definedNames>
    <definedName name="CHICA_ANDANDO_IZQ_LENTO">PERSONAJES!$C$7</definedName>
    <definedName name="CHICA_ANDANDO_IZQ_RAPIDO">PERSONAJES!$C$8</definedName>
    <definedName name="CHICA_ESPALDAS_IZQ_1">PERSONAJES!$C$4</definedName>
    <definedName name="CHICA_ESPALDAS_IZQ_2">PERSONAJES!$C$5</definedName>
    <definedName name="CHICA_ESPALDAS_IZQ_3">PERSONAJES!$C$6</definedName>
    <definedName name="CODIGO_IMAGEN">'CONSULTAR IMAGEN'!$I$9</definedName>
    <definedName name="FÓRMULA_1">FÓRMULAS!$C$4</definedName>
    <definedName name="FORMULA_2">FÓRMULAS!$C$5</definedName>
    <definedName name="IMAGEN">INDIRECT('CONSULTAR IMAGEN'!$F$4)</definedName>
    <definedName name="LISTA_FÓRMULAS">FÓRMULAS!$B$4:$B$5</definedName>
    <definedName name="LISTA_PERSONAJES">PERSONAJES!$B$4:$B$8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5" l="1"/>
  <c r="F1" i="14" l="1"/>
  <c r="F1" i="10" l="1"/>
  <c r="I6" i="2"/>
  <c r="D27" i="2"/>
  <c r="D6" i="2" l="1"/>
  <c r="I4" i="2"/>
  <c r="D1" i="2" l="1"/>
  <c r="E1" i="2"/>
  <c r="B2" i="2" l="1"/>
  <c r="I12" i="2" l="1"/>
  <c r="I10" i="2"/>
  <c r="H14" i="2"/>
  <c r="H16" i="2"/>
  <c r="I11" i="2"/>
  <c r="F4" i="2"/>
  <c r="H12" i="2" l="1"/>
  <c r="I9" i="2"/>
</calcChain>
</file>

<file path=xl/sharedStrings.xml><?xml version="1.0" encoding="utf-8"?>
<sst xmlns="http://schemas.openxmlformats.org/spreadsheetml/2006/main" count="72" uniqueCount="59">
  <si>
    <t>http://drive.google.com/uc?export=view&amp;id=</t>
  </si>
  <si>
    <t>IMAGEN</t>
  </si>
  <si>
    <t>ANCHO</t>
  </si>
  <si>
    <t>ALTO</t>
  </si>
  <si>
    <t>ASIGNAR NOMBRE A CELDAS</t>
  </si>
  <si>
    <t>Columna1</t>
  </si>
  <si>
    <t>Columna2</t>
  </si>
  <si>
    <t>Columna3</t>
  </si>
  <si>
    <t xml:space="preserve"> </t>
  </si>
  <si>
    <t>IR A CONSULTAR IMAGEN</t>
  </si>
  <si>
    <t>NOMBRE DE LA IMAGEN</t>
  </si>
  <si>
    <t>TEMÁTICA DE LA IMAGEN A MOSTRAR</t>
  </si>
  <si>
    <t>TEMATICA</t>
  </si>
  <si>
    <t>COPIAR CÓDIGO PARA INCRUSTAR IMAGEN</t>
  </si>
  <si>
    <t>https://dl.dropboxusercontent.com/s/</t>
  </si>
  <si>
    <t>DROPBOX</t>
  </si>
  <si>
    <t>GOOGLE DRIVE</t>
  </si>
  <si>
    <t>NUEVA TEMÁTICA</t>
  </si>
  <si>
    <t>INCRUSTAR IMAGEN EN HTML:</t>
  </si>
  <si>
    <t xml:space="preserve"> &lt;img src="URL_imagen" width="Ancho_en_píxeles" height="Alto_en_píxeles"&gt;</t>
  </si>
  <si>
    <t>IMÁGENES</t>
  </si>
  <si>
    <t xml:space="preserve"> INSERTAR NUEVA IMAGEN</t>
  </si>
  <si>
    <t>WEB PARA CREAR GIF:</t>
  </si>
  <si>
    <t>WEB PARA CREAR FÓRMULAS EN LÁTEX:</t>
  </si>
  <si>
    <t>https://picasion.com/es/</t>
  </si>
  <si>
    <t>https://www.codecogs.com/latex/eqneditor.php</t>
  </si>
  <si>
    <t>URL DE LA IMAGEN / CÓDIGO LÁTEX DE LA FÓRMULA</t>
  </si>
  <si>
    <t>Columna4</t>
  </si>
  <si>
    <t>CHICA_ESPALDAS_IZQ_1</t>
  </si>
  <si>
    <t>https://drive.google.com/open?id=1B9ATB4ZfyHy_upup88DaucK_aUiZE05i&amp;authuser=milagros.huerta%40gm.uca.es&amp;usp=drive_fs</t>
  </si>
  <si>
    <t>Chica andando de espaldas, primer paso.</t>
  </si>
  <si>
    <t>CHICA_ESPALDAS_IZQ_2</t>
  </si>
  <si>
    <t>https://drive.google.com/open?id=1B83hCCQo8QpAoT2sIUYx9In93zmi0wB-&amp;authuser=milagros.huerta%40gm.uca.es&amp;usp=drive_fs</t>
  </si>
  <si>
    <t>Chica andando de espaldas, segundo paso.</t>
  </si>
  <si>
    <t>CHICA_ESPALDAS_IZQ_3</t>
  </si>
  <si>
    <t>https://drive.google.com/open?id=1B296QQqHCUAgdS4RgFQRYRYLZhaWoOJS&amp;authuser=milagros.huerta%40gm.uca.es&amp;usp=drive_fs</t>
  </si>
  <si>
    <t>Chica andando de espaldas, tercer paso.</t>
  </si>
  <si>
    <t>https://drive.google.com/open?id=1CHQPo7dAuYFpFaDpDrGfb8DfLLCQ1_7N&amp;authuser=milagros.huerta%40gm.uca.es&amp;usp=drive_fs</t>
  </si>
  <si>
    <t>Chica andando de espaldas LENTO.</t>
  </si>
  <si>
    <t>FÓRMULAS</t>
  </si>
  <si>
    <t>IMAGEN_FÓRMULAS</t>
  </si>
  <si>
    <t>URL_FÓRMULAS / LÁTEX_FÓRMULAS</t>
  </si>
  <si>
    <t>DESCRIPCIÓN_FÓRMULAS</t>
  </si>
  <si>
    <t>\frac{X}{2-X}</t>
  </si>
  <si>
    <t>Esta es mi primera fórmula.</t>
  </si>
  <si>
    <t>ImaginDataBase</t>
  </si>
  <si>
    <t>FORMULA_2</t>
  </si>
  <si>
    <t>FÓRMULA_1</t>
  </si>
  <si>
    <t>Esta es mi segunda fórmula.</t>
  </si>
  <si>
    <t>\frac{sin x}{x-1}</t>
  </si>
  <si>
    <r>
      <t xml:space="preserve">BORRAR IMAGEN </t>
    </r>
    <r>
      <rPr>
        <sz val="12"/>
        <color theme="0"/>
        <rFont val="Calibri"/>
        <family val="2"/>
        <scheme val="minor"/>
      </rPr>
      <t>(posiciona el cursor en la FILA de la IMAGEN)</t>
    </r>
  </si>
  <si>
    <t>PERSONAJES</t>
  </si>
  <si>
    <t>IMAGEN_PERSONAJES</t>
  </si>
  <si>
    <t>URL_PERSONAJES / LÁTEX_PERSONAJES</t>
  </si>
  <si>
    <t>DESCRIPCIÓN_PERSONAJES</t>
  </si>
  <si>
    <t>CHICA_ANDANDO_IZQ_LENTO</t>
  </si>
  <si>
    <t>CHICA_ANDANDO_IZQ_RAPIDO</t>
  </si>
  <si>
    <t>Chica andando de espaldas RÁPIDO.</t>
  </si>
  <si>
    <t>https://drive.google.com/open?id=1C_RsEMl-gIHkqda59HnMiGXP1uwTzprV&amp;authuser=milagros.huerta%40gm.uca.es&amp;usp=drive_fs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</si>
</sst>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5877"/>
      <name val="Calibri"/>
      <family val="2"/>
      <scheme val="minor"/>
    </font>
    <font>
      <b/>
      <sz val="10"/>
      <color rgb="FF005877"/>
      <name val="Calibri"/>
      <family val="2"/>
      <scheme val="minor"/>
    </font>
    <font>
      <sz val="11"/>
      <color rgb="FF005877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rgb="FFE87B00"/>
      <name val="Calibri"/>
      <family val="2"/>
      <scheme val="minor"/>
    </font>
    <font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5877"/>
        <bgColor indexed="64"/>
      </patternFill>
    </fill>
    <fill>
      <patternFill patternType="solid">
        <fgColor rgb="FFEC7B00"/>
        <bgColor rgb="FFE87B0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rgb="FF005877"/>
      </left>
      <right/>
      <top style="medium">
        <color rgb="FF005877"/>
      </top>
      <bottom style="medium">
        <color rgb="FF005877"/>
      </bottom>
      <diagonal/>
    </border>
    <border>
      <left/>
      <right/>
      <top style="medium">
        <color rgb="FF005877"/>
      </top>
      <bottom style="medium">
        <color rgb="FF005877"/>
      </bottom>
      <diagonal/>
    </border>
    <border>
      <left/>
      <right style="medium">
        <color rgb="FF005877"/>
      </right>
      <top style="medium">
        <color rgb="FF005877"/>
      </top>
      <bottom style="medium">
        <color rgb="FF005877"/>
      </bottom>
      <diagonal/>
    </border>
    <border>
      <left style="medium">
        <color rgb="FF005877"/>
      </left>
      <right/>
      <top style="medium">
        <color rgb="FF005877"/>
      </top>
      <bottom/>
      <diagonal/>
    </border>
    <border>
      <left/>
      <right/>
      <top style="medium">
        <color rgb="FF005877"/>
      </top>
      <bottom/>
      <diagonal/>
    </border>
    <border>
      <left/>
      <right style="medium">
        <color rgb="FF005877"/>
      </right>
      <top style="medium">
        <color rgb="FF005877"/>
      </top>
      <bottom/>
      <diagonal/>
    </border>
    <border>
      <left/>
      <right style="medium">
        <color rgb="FF005877"/>
      </right>
      <top/>
      <bottom/>
      <diagonal/>
    </border>
    <border>
      <left style="medium">
        <color rgb="FF005877"/>
      </left>
      <right/>
      <top/>
      <bottom style="medium">
        <color rgb="FF005877"/>
      </bottom>
      <diagonal/>
    </border>
    <border>
      <left/>
      <right/>
      <top/>
      <bottom style="medium">
        <color rgb="FF005877"/>
      </bottom>
      <diagonal/>
    </border>
    <border>
      <left/>
      <right style="medium">
        <color rgb="FF005877"/>
      </right>
      <top/>
      <bottom style="medium">
        <color rgb="FF005877"/>
      </bottom>
      <diagonal/>
    </border>
    <border>
      <left style="medium">
        <color rgb="FF005877"/>
      </left>
      <right style="medium">
        <color rgb="FF005877"/>
      </right>
      <top/>
      <bottom/>
      <diagonal/>
    </border>
    <border>
      <left style="thick">
        <color rgb="FFE87B00"/>
      </left>
      <right style="thick">
        <color rgb="FFE87B00"/>
      </right>
      <top/>
      <bottom/>
      <diagonal/>
    </border>
    <border>
      <left style="thick">
        <color rgb="FFE87B00"/>
      </left>
      <right style="thick">
        <color rgb="FFE87B00"/>
      </right>
      <top style="thick">
        <color rgb="FFE87B00"/>
      </top>
      <bottom/>
      <diagonal/>
    </border>
    <border>
      <left style="thick">
        <color rgb="FFE87B00"/>
      </left>
      <right style="thick">
        <color rgb="FFE87B00"/>
      </right>
      <top/>
      <bottom style="thick">
        <color rgb="FFE87B00"/>
      </bottom>
      <diagonal/>
    </border>
    <border>
      <left style="thick">
        <color rgb="FFE87B00"/>
      </left>
      <right style="medium">
        <color rgb="FF005877"/>
      </right>
      <top/>
      <bottom/>
      <diagonal/>
    </border>
    <border>
      <left style="medium">
        <color rgb="FF005877"/>
      </left>
      <right/>
      <top/>
      <bottom/>
      <diagonal/>
    </border>
    <border>
      <left style="thick">
        <color rgb="FFE87B00"/>
      </left>
      <right/>
      <top style="thick">
        <color rgb="FFE87B00"/>
      </top>
      <bottom/>
      <diagonal/>
    </border>
    <border>
      <left/>
      <right style="thick">
        <color rgb="FFE87B00"/>
      </right>
      <top style="thick">
        <color rgb="FFE87B00"/>
      </top>
      <bottom/>
      <diagonal/>
    </border>
    <border>
      <left style="thick">
        <color rgb="FFE87B00"/>
      </left>
      <right/>
      <top/>
      <bottom style="thick">
        <color rgb="FFE87B00"/>
      </bottom>
      <diagonal/>
    </border>
    <border>
      <left/>
      <right style="thick">
        <color rgb="FFE87B00"/>
      </right>
      <top/>
      <bottom style="thick">
        <color rgb="FFE87B00"/>
      </bottom>
      <diagonal/>
    </border>
    <border>
      <left/>
      <right/>
      <top style="thick">
        <color rgb="FFE87B0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1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3" fillId="2" borderId="0" xfId="1" applyFont="1" applyFill="1" applyBorder="1" applyAlignment="1">
      <alignment horizontal="center" vertical="center" shrinkToFit="1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Alignment="1" applyProtection="1">
      <alignment horizontal="center" vertical="center" shrinkToFit="1"/>
      <protection locked="0"/>
    </xf>
    <xf numFmtId="0" fontId="5" fillId="0" borderId="0" xfId="0" applyFont="1" applyAlignment="1">
      <alignment horizontal="center"/>
    </xf>
    <xf numFmtId="0" fontId="3" fillId="2" borderId="12" xfId="1" applyFont="1" applyFill="1" applyBorder="1" applyAlignment="1">
      <alignment horizontal="center" vertical="center" shrinkToFit="1"/>
    </xf>
    <xf numFmtId="0" fontId="4" fillId="0" borderId="0" xfId="0" applyFont="1" applyAlignment="1">
      <alignment horizontal="center"/>
    </xf>
    <xf numFmtId="0" fontId="1" fillId="0" borderId="11" xfId="0" applyFont="1" applyBorder="1" applyAlignment="1">
      <alignment horizontal="center" vertical="center"/>
    </xf>
    <xf numFmtId="0" fontId="8" fillId="0" borderId="0" xfId="1" applyFont="1" applyAlignment="1">
      <alignment horizontal="right"/>
    </xf>
    <xf numFmtId="0" fontId="4" fillId="0" borderId="0" xfId="0" applyFont="1" applyAlignment="1">
      <alignment horizontal="right"/>
    </xf>
    <xf numFmtId="0" fontId="5" fillId="0" borderId="13" xfId="0" applyFont="1" applyBorder="1"/>
    <xf numFmtId="0" fontId="7" fillId="0" borderId="14" xfId="0" quotePrefix="1" applyFont="1" applyBorder="1" applyAlignment="1">
      <alignment horizontal="left" indent="1"/>
    </xf>
    <xf numFmtId="0" fontId="3" fillId="2" borderId="15" xfId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4" borderId="16" xfId="0" applyFont="1" applyFill="1" applyBorder="1" applyAlignment="1" applyProtection="1">
      <alignment vertical="center" wrapText="1"/>
      <protection locked="0"/>
    </xf>
    <xf numFmtId="0" fontId="5" fillId="4" borderId="0" xfId="0" applyFont="1" applyFill="1" applyBorder="1" applyAlignment="1" applyProtection="1">
      <alignment horizontal="center" vertical="center"/>
      <protection locked="0"/>
    </xf>
    <xf numFmtId="0" fontId="5" fillId="5" borderId="8" xfId="0" applyFont="1" applyFill="1" applyBorder="1" applyAlignment="1" applyProtection="1">
      <alignment vertical="center" wrapText="1"/>
      <protection locked="0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9" fillId="0" borderId="0" xfId="0" applyFont="1"/>
    <xf numFmtId="0" fontId="5" fillId="4" borderId="0" xfId="0" applyFont="1" applyFill="1" applyBorder="1" applyAlignment="1" applyProtection="1">
      <alignment horizontal="left" vertical="center" wrapText="1" indent="1"/>
      <protection locked="0"/>
    </xf>
    <xf numFmtId="0" fontId="5" fillId="5" borderId="9" xfId="0" applyFont="1" applyFill="1" applyBorder="1" applyAlignment="1" applyProtection="1">
      <alignment horizontal="left" vertical="center" wrapText="1" indent="1"/>
      <protection locked="0"/>
    </xf>
    <xf numFmtId="0" fontId="5" fillId="4" borderId="7" xfId="0" applyFont="1" applyFill="1" applyBorder="1" applyAlignment="1" applyProtection="1">
      <alignment horizontal="left" vertical="center" wrapText="1" indent="1"/>
      <protection locked="0"/>
    </xf>
    <xf numFmtId="0" fontId="5" fillId="5" borderId="10" xfId="0" applyFont="1" applyFill="1" applyBorder="1" applyAlignment="1" applyProtection="1">
      <alignment horizontal="left" vertical="center" wrapText="1" indent="1"/>
      <protection locked="0"/>
    </xf>
    <xf numFmtId="0" fontId="5" fillId="0" borderId="0" xfId="0" applyFont="1" applyAlignment="1" applyProtection="1">
      <alignment horizontal="left" vertical="center" indent="1"/>
    </xf>
    <xf numFmtId="0" fontId="5" fillId="0" borderId="0" xfId="0" applyFont="1" applyAlignment="1" applyProtection="1">
      <alignment horizontal="left" vertical="center" shrinkToFit="1"/>
    </xf>
    <xf numFmtId="0" fontId="0" fillId="0" borderId="0" xfId="0" applyAlignment="1" applyProtection="1">
      <alignment vertical="center"/>
    </xf>
    <xf numFmtId="0" fontId="3" fillId="0" borderId="0" xfId="1" applyFont="1" applyFill="1" applyBorder="1" applyAlignment="1" applyProtection="1">
      <alignment horizontal="center" vertical="center"/>
    </xf>
    <xf numFmtId="0" fontId="6" fillId="0" borderId="0" xfId="0" applyFont="1" applyFill="1" applyAlignment="1" applyProtection="1">
      <alignment horizontal="right" vertical="center" shrinkToFit="1"/>
    </xf>
    <xf numFmtId="0" fontId="5" fillId="0" borderId="0" xfId="0" applyFont="1" applyFill="1" applyAlignment="1" applyProtection="1">
      <alignment horizontal="left" vertical="center" indent="1"/>
    </xf>
    <xf numFmtId="0" fontId="6" fillId="0" borderId="0" xfId="0" applyFont="1" applyFill="1" applyAlignment="1" applyProtection="1">
      <alignment horizontal="left" vertical="center" shrinkToFit="1"/>
    </xf>
    <xf numFmtId="0" fontId="0" fillId="0" borderId="0" xfId="0" applyFill="1" applyAlignment="1" applyProtection="1">
      <alignment vertical="center"/>
    </xf>
    <xf numFmtId="0" fontId="4" fillId="3" borderId="4" xfId="0" applyFont="1" applyFill="1" applyBorder="1" applyAlignment="1" applyProtection="1">
      <alignment horizontal="left" vertical="center" wrapText="1" indent="1" shrinkToFit="1"/>
    </xf>
    <xf numFmtId="0" fontId="4" fillId="3" borderId="5" xfId="0" applyFont="1" applyFill="1" applyBorder="1" applyAlignment="1" applyProtection="1">
      <alignment horizontal="left" vertical="center" wrapText="1" indent="1" shrinkToFit="1"/>
    </xf>
    <xf numFmtId="0" fontId="4" fillId="3" borderId="6" xfId="0" applyFont="1" applyFill="1" applyBorder="1" applyAlignment="1" applyProtection="1">
      <alignment horizontal="left" vertical="center" wrapText="1" indent="1" shrinkToFit="1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0" fillId="0" borderId="21" xfId="0" applyBorder="1" applyAlignment="1"/>
    <xf numFmtId="0" fontId="7" fillId="0" borderId="12" xfId="0" quotePrefix="1" applyFont="1" applyBorder="1" applyAlignment="1">
      <alignment horizontal="left" indent="1"/>
    </xf>
    <xf numFmtId="0" fontId="5" fillId="4" borderId="0" xfId="0" applyFont="1" applyFill="1" applyBorder="1" applyAlignment="1" applyProtection="1">
      <alignment vertical="center" wrapText="1"/>
      <protection locked="0"/>
    </xf>
    <xf numFmtId="0" fontId="4" fillId="3" borderId="0" xfId="0" applyFont="1" applyFill="1" applyBorder="1" applyAlignment="1" applyProtection="1">
      <alignment horizontal="left" vertical="center" wrapText="1" indent="1" shrinkToFit="1"/>
    </xf>
    <xf numFmtId="0" fontId="5" fillId="5" borderId="0" xfId="0" applyFont="1" applyFill="1" applyBorder="1" applyAlignment="1" applyProtection="1">
      <alignment vertical="center" wrapText="1"/>
      <protection locked="0"/>
    </xf>
    <xf numFmtId="0" fontId="5" fillId="5" borderId="0" xfId="0" applyFont="1" applyFill="1" applyBorder="1" applyAlignment="1" applyProtection="1">
      <alignment horizontal="left" vertical="center" wrapText="1" indent="1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3" fillId="2" borderId="12" xfId="1" applyFont="1" applyFill="1" applyBorder="1" applyAlignment="1" applyProtection="1">
      <alignment horizontal="center" vertical="center"/>
    </xf>
    <xf numFmtId="0" fontId="3" fillId="2" borderId="12" xfId="1" applyFont="1" applyFill="1" applyBorder="1" applyAlignment="1" applyProtection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 applyProtection="1">
      <alignment vertical="center" shrinkToFit="1"/>
    </xf>
    <xf numFmtId="0" fontId="0" fillId="0" borderId="0" xfId="0" applyAlignment="1" applyProtection="1">
      <alignment horizontal="left" vertical="center" wrapText="1" indent="1"/>
      <protection locked="0"/>
    </xf>
    <xf numFmtId="0" fontId="0" fillId="0" borderId="0" xfId="0" applyAlignment="1" applyProtection="1">
      <alignment vertical="center" shrinkToFit="1"/>
    </xf>
    <xf numFmtId="0" fontId="0" fillId="0" borderId="0" xfId="0" applyAlignment="1">
      <alignment horizontal="left" vertical="center" indent="1" shrinkToFit="1"/>
    </xf>
    <xf numFmtId="0" fontId="10" fillId="5" borderId="1" xfId="0" applyFont="1" applyFill="1" applyBorder="1" applyAlignment="1">
      <alignment horizontal="center" vertical="center" shrinkToFit="1"/>
    </xf>
    <xf numFmtId="0" fontId="10" fillId="5" borderId="2" xfId="0" applyFont="1" applyFill="1" applyBorder="1" applyAlignment="1">
      <alignment horizontal="center" vertical="center" shrinkToFit="1"/>
    </xf>
    <xf numFmtId="0" fontId="10" fillId="5" borderId="3" xfId="0" applyFont="1" applyFill="1" applyBorder="1" applyAlignment="1">
      <alignment horizontal="center" vertical="center" shrinkToFit="1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2" borderId="12" xfId="1" applyFont="1" applyFill="1" applyBorder="1" applyAlignment="1" applyProtection="1">
      <alignment horizontal="center" vertical="center"/>
    </xf>
  </cellXfs>
  <cellStyles count="2">
    <cellStyle name="Hipervínculo" xfId="1" builtinId="8"/>
    <cellStyle name="Normal" xfId="0" builtinId="0"/>
  </cellStyles>
  <dxfs count="27">
    <dxf>
      <border outline="0"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rgb="FFE87B00"/>
          <bgColor rgb="FFEC7B00"/>
        </patternFill>
      </fill>
      <alignment horizontal="left" vertical="center" textRotation="0" wrapText="1" indent="1" justifyLastLine="0" shrinkToFit="1" readingOrder="0"/>
      <protection locked="1" hidden="0"/>
    </dxf>
    <dxf>
      <border outline="0"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rgb="FFE87B00"/>
          <bgColor rgb="FFEC7B00"/>
        </patternFill>
      </fill>
      <alignment horizontal="left" vertical="center" textRotation="0" wrapText="1" indent="1" justifyLastLine="0" shrinkToFit="1" readingOrder="0"/>
      <protection locked="1" hidden="0"/>
    </dxf>
    <dxf>
      <alignment horizontal="general" vertical="center" textRotation="0" wrapText="0" indent="0" justifyLastLine="0" shrinkToFit="1" readingOrder="0"/>
      <protection locked="1" hidden="0"/>
    </dxf>
    <dxf>
      <border diagonalUp="0" diagonalDown="0"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</border>
    </dxf>
    <dxf>
      <alignment horizontal="general" vertical="center" textRotation="0" wrapText="0" indent="0" justifyLastLine="0" shrinkToFit="1" readingOrder="0"/>
      <protection locked="1" hidden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relativeIndent="1" justifyLastLine="0" shrinkToFit="1" readingOrder="0"/>
    </dxf>
    <dxf>
      <alignment horizontal="center" vertical="center" textRotation="0" wrapText="0" indent="0" justifyLastLine="0" shrinkToFit="1" readingOrder="0"/>
      <protection locked="0" hidden="0"/>
    </dxf>
    <dxf>
      <alignment horizontal="center" vertical="center" textRotation="0" wrapText="0" indent="0" justifyLastLine="0" shrinkToFit="1" readingOrder="0"/>
      <protection locked="0" hidden="0"/>
    </dxf>
    <dxf>
      <alignment horizontal="general" vertical="center" textRotation="0" wrapText="0" indent="0" justifyLastLine="0" shrinkToFit="1" readingOrder="0"/>
      <protection locked="0" hidden="0"/>
    </dxf>
    <dxf>
      <alignment horizontal="center" vertical="center" textRotation="0" wrapText="0" indent="0" justifyLastLine="0" shrinkToFit="1" readingOrder="0"/>
      <protection locked="0" hidden="0"/>
    </dxf>
    <dxf>
      <alignment horizontal="general" vertical="center" textRotation="0" wrapText="0" indent="0" justifyLastLine="0" shrinkToFit="1" readingOrder="0"/>
      <protection locked="0" hidden="0"/>
    </dxf>
    <dxf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color rgb="FF9C0006"/>
      </font>
      <fill>
        <patternFill>
          <bgColor rgb="FFFFFF00"/>
        </patternFill>
      </fill>
    </dxf>
    <dxf>
      <font>
        <b/>
        <i val="0"/>
        <color rgb="FF9C0006"/>
      </font>
      <fill>
        <patternFill>
          <bgColor rgb="FFFFFF00"/>
        </patternFill>
      </fill>
    </dxf>
    <dxf>
      <fill>
        <patternFill>
          <fgColor rgb="FFFFC000"/>
        </patternFill>
      </fill>
    </dxf>
    <dxf>
      <border>
        <top/>
        <bottom/>
        <horizontal/>
      </border>
    </dxf>
    <dxf>
      <fill>
        <patternFill>
          <fgColor theme="0"/>
        </patternFill>
      </fill>
    </dxf>
    <dxf>
      <font>
        <b/>
        <i val="0"/>
        <color rgb="FF005877"/>
      </font>
      <fill>
        <patternFill>
          <fgColor theme="0" tint="-0.14993743705557422"/>
          <bgColor theme="0" tint="-0.14996795556505021"/>
        </patternFill>
      </fill>
      <border>
        <right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border>
        <right/>
      </border>
    </dxf>
    <dxf>
      <font>
        <b/>
        <i val="0"/>
        <color theme="0"/>
      </font>
      <fill>
        <patternFill patternType="solid">
          <fgColor rgb="FFE87B00"/>
          <bgColor rgb="FFEC7B00"/>
        </patternFill>
      </fill>
      <border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  <horizontal/>
      </border>
    </dxf>
    <dxf>
      <font>
        <b/>
        <i val="0"/>
        <color rgb="FF005877"/>
      </font>
      <border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</border>
    </dxf>
  </dxfs>
  <tableStyles count="2" defaultTableStyle="Estilo de tabla nuevo" defaultPivotStyle="PivotStyleLight16">
    <tableStyle name="Estilo de tabla nuevo" pivot="0" count="7">
      <tableStyleElement type="wholeTable" dxfId="26"/>
      <tableStyleElement type="headerRow" dxfId="25"/>
      <tableStyleElement type="firstColumn" dxfId="24"/>
      <tableStyleElement type="firstRowStripe" dxfId="23"/>
      <tableStyleElement type="secondRowStripe" dxfId="22"/>
      <tableStyleElement type="firstColumnStripe" dxfId="21"/>
      <tableStyleElement type="secondColumnStripe" dxfId="20"/>
    </tableStyle>
    <tableStyle name="Estilo de tabla UCA" pivot="0" count="2">
      <tableStyleElement type="wholeTable" dxfId="19"/>
      <tableStyleElement type="firstColumnStripe" dxfId="18"/>
    </tableStyle>
  </tableStyles>
  <colors>
    <mruColors>
      <color rgb="FF005877"/>
      <color rgb="FFE87B00"/>
      <color rgb="FFEC7B0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https://www.uca.es" TargetMode="External"/><Relationship Id="rId1" Type="http://schemas.openxmlformats.org/officeDocument/2006/relationships/image" Target="../media/image1.emf"/><Relationship Id="rId6" Type="http://schemas.openxmlformats.org/officeDocument/2006/relationships/hyperlink" Target="https://www.codecogs.com/latex/eqneditor.php?lang=es-es" TargetMode="External"/><Relationship Id="rId5" Type="http://schemas.openxmlformats.org/officeDocument/2006/relationships/hyperlink" Target="https://picasion.com/es/" TargetMode="Externa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gif"/><Relationship Id="rId4" Type="http://schemas.openxmlformats.org/officeDocument/2006/relationships/image" Target="../media/image10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52363</xdr:colOff>
          <xdr:row>4</xdr:row>
          <xdr:rowOff>97515</xdr:rowOff>
        </xdr:from>
        <xdr:to>
          <xdr:col>4</xdr:col>
          <xdr:colOff>2542760</xdr:colOff>
          <xdr:row>25</xdr:row>
          <xdr:rowOff>112846</xdr:rowOff>
        </xdr:to>
        <xdr:pic>
          <xdr:nvPicPr>
            <xdr:cNvPr id="4" name="Imagen 3"/>
            <xdr:cNvPicPr>
              <a:picLocks noChangeAspect="1"/>
              <a:extLst>
                <a:ext uri="{84589F7E-364E-4C9E-8A38-B11213B215E9}">
                  <a14:cameraTool cellRange="IMAGEN" spid="_x0000_s3689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/>
            <a:stretch>
              <a:fillRect/>
            </a:stretch>
          </xdr:blipFill>
          <xdr:spPr>
            <a:xfrm>
              <a:off x="1973928" y="917493"/>
              <a:ext cx="5033158" cy="4131788"/>
            </a:xfrm>
            <a:prstGeom prst="rect">
              <a:avLst/>
            </a:prstGeom>
            <a:noFill/>
            <a:ln w="38100" cap="rnd" cmpd="dbl">
              <a:solidFill>
                <a:srgbClr val="005877"/>
              </a:solidFill>
            </a:ln>
          </xdr:spPr>
        </xdr:pic>
        <xdr:clientData/>
      </xdr:twoCellAnchor>
    </mc:Choice>
    <mc:Fallback/>
  </mc:AlternateContent>
  <xdr:twoCellAnchor>
    <xdr:from>
      <xdr:col>0</xdr:col>
      <xdr:colOff>112395</xdr:colOff>
      <xdr:row>0</xdr:row>
      <xdr:rowOff>14653</xdr:rowOff>
    </xdr:from>
    <xdr:to>
      <xdr:col>9</xdr:col>
      <xdr:colOff>20388</xdr:colOff>
      <xdr:row>7</xdr:row>
      <xdr:rowOff>184129</xdr:rowOff>
    </xdr:to>
    <xdr:grpSp>
      <xdr:nvGrpSpPr>
        <xdr:cNvPr id="6" name="Grupo 5"/>
        <xdr:cNvGrpSpPr/>
      </xdr:nvGrpSpPr>
      <xdr:grpSpPr>
        <a:xfrm>
          <a:off x="112395" y="14653"/>
          <a:ext cx="12721189" cy="1569237"/>
          <a:chOff x="112395" y="14653"/>
          <a:chExt cx="12721189" cy="1569237"/>
        </a:xfrm>
      </xdr:grpSpPr>
      <xdr:grpSp>
        <xdr:nvGrpSpPr>
          <xdr:cNvPr id="15" name="Grupo 14"/>
          <xdr:cNvGrpSpPr/>
        </xdr:nvGrpSpPr>
        <xdr:grpSpPr>
          <a:xfrm>
            <a:off x="112395" y="14653"/>
            <a:ext cx="6814523" cy="300086"/>
            <a:chOff x="112395" y="14653"/>
            <a:chExt cx="6712475" cy="300086"/>
          </a:xfrm>
        </xdr:grpSpPr>
        <xdr:sp macro="[0]!NUEVA_TEMATICA" textlink="">
          <xdr:nvSpPr>
            <xdr:cNvPr id="3" name="Rectángulo 2"/>
            <xdr:cNvSpPr/>
          </xdr:nvSpPr>
          <xdr:spPr>
            <a:xfrm>
              <a:off x="112395" y="22861"/>
              <a:ext cx="1535844" cy="29187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IR_TEMATICA" textlink="">
          <xdr:nvSpPr>
            <xdr:cNvPr id="5" name="Rectángulo 4"/>
            <xdr:cNvSpPr/>
          </xdr:nvSpPr>
          <xdr:spPr>
            <a:xfrm>
              <a:off x="1725019" y="31144"/>
              <a:ext cx="2565372" cy="26926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BORRAR_TEMATICA" textlink="">
          <xdr:nvSpPr>
            <xdr:cNvPr id="7" name="Rectángulo 6"/>
            <xdr:cNvSpPr/>
          </xdr:nvSpPr>
          <xdr:spPr>
            <a:xfrm>
              <a:off x="4303134" y="14653"/>
              <a:ext cx="2521736" cy="29307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</xdr:grpSp>
      <xdr:grpSp>
        <xdr:nvGrpSpPr>
          <xdr:cNvPr id="2" name="Grupo 1"/>
          <xdr:cNvGrpSpPr/>
        </xdr:nvGrpSpPr>
        <xdr:grpSpPr>
          <a:xfrm>
            <a:off x="8036843" y="1010478"/>
            <a:ext cx="4796741" cy="573412"/>
            <a:chOff x="7918174" y="1010478"/>
            <a:chExt cx="4724910" cy="573412"/>
          </a:xfrm>
        </xdr:grpSpPr>
        <xdr:sp macro="[0]!URL_IMAGEN" textlink="">
          <xdr:nvSpPr>
            <xdr:cNvPr id="13" name="Rectángulo 12"/>
            <xdr:cNvSpPr/>
          </xdr:nvSpPr>
          <xdr:spPr>
            <a:xfrm>
              <a:off x="7918174" y="1010478"/>
              <a:ext cx="4683497" cy="20706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CODIGO_INCRUSTAR" textlink="">
          <xdr:nvSpPr>
            <xdr:cNvPr id="14" name="Rectángulo 13"/>
            <xdr:cNvSpPr/>
          </xdr:nvSpPr>
          <xdr:spPr>
            <a:xfrm>
              <a:off x="7959587" y="1408043"/>
              <a:ext cx="4683497" cy="17584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</xdr:grpSp>
    </xdr:grpSp>
    <xdr:clientData/>
  </xdr:twoCellAnchor>
  <xdr:twoCellAnchor editAs="absolute">
    <xdr:from>
      <xdr:col>8</xdr:col>
      <xdr:colOff>2194891</xdr:colOff>
      <xdr:row>23</xdr:row>
      <xdr:rowOff>16565</xdr:rowOff>
    </xdr:from>
    <xdr:to>
      <xdr:col>8</xdr:col>
      <xdr:colOff>4687956</xdr:colOff>
      <xdr:row>28</xdr:row>
      <xdr:rowOff>2511</xdr:rowOff>
    </xdr:to>
    <xdr:pic>
      <xdr:nvPicPr>
        <xdr:cNvPr id="10" name="Imagen 9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1848" y="4572000"/>
          <a:ext cx="2493065" cy="963294"/>
        </a:xfrm>
        <a:prstGeom prst="rect">
          <a:avLst/>
        </a:prstGeom>
        <a:ln w="25400">
          <a:solidFill>
            <a:srgbClr val="E87B00"/>
          </a:solidFill>
        </a:ln>
      </xdr:spPr>
    </xdr:pic>
    <xdr:clientData/>
  </xdr:twoCellAnchor>
  <xdr:twoCellAnchor editAs="absolute">
    <xdr:from>
      <xdr:col>8</xdr:col>
      <xdr:colOff>8284</xdr:colOff>
      <xdr:row>23</xdr:row>
      <xdr:rowOff>16567</xdr:rowOff>
    </xdr:from>
    <xdr:to>
      <xdr:col>8</xdr:col>
      <xdr:colOff>1015298</xdr:colOff>
      <xdr:row>28</xdr:row>
      <xdr:rowOff>6656</xdr:rowOff>
    </xdr:to>
    <xdr:pic>
      <xdr:nvPicPr>
        <xdr:cNvPr id="12" name="IMAGEN_GENERAL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4741" y="4572002"/>
          <a:ext cx="1007014" cy="967437"/>
        </a:xfrm>
        <a:prstGeom prst="rect">
          <a:avLst/>
        </a:prstGeom>
        <a:ln w="25400">
          <a:solidFill>
            <a:srgbClr val="005877"/>
          </a:solidFill>
        </a:ln>
      </xdr:spPr>
    </xdr:pic>
    <xdr:clientData fLocksWithSheet="0"/>
  </xdr:twoCellAnchor>
  <xdr:twoCellAnchor editAs="absolute">
    <xdr:from>
      <xdr:col>8</xdr:col>
      <xdr:colOff>630</xdr:colOff>
      <xdr:row>18</xdr:row>
      <xdr:rowOff>24846</xdr:rowOff>
    </xdr:from>
    <xdr:to>
      <xdr:col>9</xdr:col>
      <xdr:colOff>24848</xdr:colOff>
      <xdr:row>22</xdr:row>
      <xdr:rowOff>16564</xdr:rowOff>
    </xdr:to>
    <xdr:grpSp>
      <xdr:nvGrpSpPr>
        <xdr:cNvPr id="8" name="Grupo 7"/>
        <xdr:cNvGrpSpPr/>
      </xdr:nvGrpSpPr>
      <xdr:grpSpPr>
        <a:xfrm>
          <a:off x="8117587" y="3586368"/>
          <a:ext cx="4720457" cy="786848"/>
          <a:chOff x="8125869" y="3569804"/>
          <a:chExt cx="4720457" cy="786848"/>
        </a:xfrm>
      </xdr:grpSpPr>
      <xdr:sp macro="" textlink="">
        <xdr:nvSpPr>
          <xdr:cNvPr id="18" name="Rectángulo 17">
            <a:hlinkClick xmlns:r="http://schemas.openxmlformats.org/officeDocument/2006/relationships" r:id="rId5"/>
          </xdr:cNvPr>
          <xdr:cNvSpPr/>
        </xdr:nvSpPr>
        <xdr:spPr>
          <a:xfrm>
            <a:off x="8158370" y="3569804"/>
            <a:ext cx="4671391" cy="38928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" name="Rectángulo 18">
            <a:hlinkClick xmlns:r="http://schemas.openxmlformats.org/officeDocument/2006/relationships" r:id="rId6"/>
          </xdr:cNvPr>
          <xdr:cNvSpPr/>
        </xdr:nvSpPr>
        <xdr:spPr>
          <a:xfrm>
            <a:off x="8125869" y="3950804"/>
            <a:ext cx="4720457" cy="4058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5</xdr:col>
      <xdr:colOff>8281</xdr:colOff>
      <xdr:row>1</xdr:row>
      <xdr:rowOff>24848</xdr:rowOff>
    </xdr:to>
    <xdr:grpSp>
      <xdr:nvGrpSpPr>
        <xdr:cNvPr id="4" name="Grupo 3"/>
        <xdr:cNvGrpSpPr/>
      </xdr:nvGrpSpPr>
      <xdr:grpSpPr>
        <a:xfrm>
          <a:off x="1" y="0"/>
          <a:ext cx="11762130" cy="339173"/>
          <a:chOff x="1" y="0"/>
          <a:chExt cx="11653628" cy="339587"/>
        </a:xfrm>
      </xdr:grpSpPr>
      <xdr:sp macro="[0]!IR_CONSULTAR_IMAGEN" textlink="">
        <xdr:nvSpPr>
          <xdr:cNvPr id="5" name="Rectángulo 4"/>
          <xdr:cNvSpPr/>
        </xdr:nvSpPr>
        <xdr:spPr>
          <a:xfrm>
            <a:off x="1" y="0"/>
            <a:ext cx="3536674" cy="33130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BORRAR_IMAGEN" textlink="">
        <xdr:nvSpPr>
          <xdr:cNvPr id="6" name="Rectángulo 5"/>
          <xdr:cNvSpPr/>
        </xdr:nvSpPr>
        <xdr:spPr>
          <a:xfrm flipH="1">
            <a:off x="7650004" y="1989"/>
            <a:ext cx="4003625" cy="3375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NUEVA_IMAGEN" textlink="">
        <xdr:nvSpPr>
          <xdr:cNvPr id="7" name="Rectángulo 6"/>
          <xdr:cNvSpPr/>
        </xdr:nvSpPr>
        <xdr:spPr>
          <a:xfrm flipH="1">
            <a:off x="3599810" y="1989"/>
            <a:ext cx="4003624" cy="30446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  <xdr:twoCellAnchor>
    <xdr:from>
      <xdr:col>2</xdr:col>
      <xdr:colOff>513519</xdr:colOff>
      <xdr:row>3</xdr:row>
      <xdr:rowOff>91020</xdr:rowOff>
    </xdr:from>
    <xdr:to>
      <xdr:col>2</xdr:col>
      <xdr:colOff>1100467</xdr:colOff>
      <xdr:row>3</xdr:row>
      <xdr:rowOff>555687</xdr:rowOff>
    </xdr:to>
    <xdr:pic>
      <xdr:nvPicPr>
        <xdr:cNvPr id="8" name="IMAGEN_GENERAL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5280" y="844737"/>
          <a:ext cx="586948" cy="464667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2</xdr:col>
      <xdr:colOff>513519</xdr:colOff>
      <xdr:row>4</xdr:row>
      <xdr:rowOff>61779</xdr:rowOff>
    </xdr:from>
    <xdr:to>
      <xdr:col>2</xdr:col>
      <xdr:colOff>1100467</xdr:colOff>
      <xdr:row>4</xdr:row>
      <xdr:rowOff>584928</xdr:rowOff>
    </xdr:to>
    <xdr:pic>
      <xdr:nvPicPr>
        <xdr:cNvPr id="9" name="IMAGEN_GENERAL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5280" y="1453257"/>
          <a:ext cx="586948" cy="523149"/>
        </a:xfrm>
        <a:prstGeom prst="rect">
          <a:avLst/>
        </a:prstGeom>
        <a:ln w="12700">
          <a:noFill/>
        </a:ln>
      </xdr:spPr>
    </xdr:pic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1014392</xdr:colOff>
      <xdr:row>3</xdr:row>
      <xdr:rowOff>24848</xdr:rowOff>
    </xdr:from>
    <xdr:to>
      <xdr:col>2</xdr:col>
      <xdr:colOff>1238474</xdr:colOff>
      <xdr:row>3</xdr:row>
      <xdr:rowOff>588728</xdr:rowOff>
    </xdr:to>
    <xdr:pic>
      <xdr:nvPicPr>
        <xdr:cNvPr id="2" name="IMAGEN_GENERAL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6153" y="778565"/>
          <a:ext cx="224082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0</xdr:col>
      <xdr:colOff>1</xdr:colOff>
      <xdr:row>0</xdr:row>
      <xdr:rowOff>0</xdr:rowOff>
    </xdr:from>
    <xdr:to>
      <xdr:col>5</xdr:col>
      <xdr:colOff>8281</xdr:colOff>
      <xdr:row>1</xdr:row>
      <xdr:rowOff>24848</xdr:rowOff>
    </xdr:to>
    <xdr:grpSp>
      <xdr:nvGrpSpPr>
        <xdr:cNvPr id="4" name="Grupo 3"/>
        <xdr:cNvGrpSpPr/>
      </xdr:nvGrpSpPr>
      <xdr:grpSpPr>
        <a:xfrm>
          <a:off x="1" y="0"/>
          <a:ext cx="11838330" cy="339173"/>
          <a:chOff x="1" y="0"/>
          <a:chExt cx="11653628" cy="339587"/>
        </a:xfrm>
      </xdr:grpSpPr>
      <xdr:sp macro="[0]!IR_CONSULTAR_IMAGEN" textlink="">
        <xdr:nvSpPr>
          <xdr:cNvPr id="5" name="Rectángulo 4"/>
          <xdr:cNvSpPr/>
        </xdr:nvSpPr>
        <xdr:spPr>
          <a:xfrm>
            <a:off x="1" y="0"/>
            <a:ext cx="3536674" cy="33130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BORRAR_IMAGEN" textlink="">
        <xdr:nvSpPr>
          <xdr:cNvPr id="6" name="Rectángulo 5"/>
          <xdr:cNvSpPr/>
        </xdr:nvSpPr>
        <xdr:spPr>
          <a:xfrm flipH="1">
            <a:off x="7650004" y="1989"/>
            <a:ext cx="4003625" cy="3375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NUEVA_IMAGEN" textlink="">
        <xdr:nvSpPr>
          <xdr:cNvPr id="7" name="Rectángulo 6"/>
          <xdr:cNvSpPr/>
        </xdr:nvSpPr>
        <xdr:spPr>
          <a:xfrm flipH="1">
            <a:off x="3599810" y="1989"/>
            <a:ext cx="4003624" cy="30446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  <xdr:twoCellAnchor>
    <xdr:from>
      <xdr:col>2</xdr:col>
      <xdr:colOff>711517</xdr:colOff>
      <xdr:row>4</xdr:row>
      <xdr:rowOff>74543</xdr:rowOff>
    </xdr:from>
    <xdr:to>
      <xdr:col>2</xdr:col>
      <xdr:colOff>935599</xdr:colOff>
      <xdr:row>5</xdr:row>
      <xdr:rowOff>662</xdr:rowOff>
    </xdr:to>
    <xdr:pic>
      <xdr:nvPicPr>
        <xdr:cNvPr id="8" name="IMAGEN_GENERAL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73278" y="1466021"/>
          <a:ext cx="224082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2</xdr:col>
      <xdr:colOff>418044</xdr:colOff>
      <xdr:row>5</xdr:row>
      <xdr:rowOff>49696</xdr:rowOff>
    </xdr:from>
    <xdr:to>
      <xdr:col>2</xdr:col>
      <xdr:colOff>642126</xdr:colOff>
      <xdr:row>5</xdr:row>
      <xdr:rowOff>613576</xdr:rowOff>
    </xdr:to>
    <xdr:pic>
      <xdr:nvPicPr>
        <xdr:cNvPr id="9" name="IMAGEN_GENERAL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9805" y="2078935"/>
          <a:ext cx="224082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2</xdr:col>
      <xdr:colOff>591991</xdr:colOff>
      <xdr:row>6</xdr:row>
      <xdr:rowOff>41414</xdr:rowOff>
    </xdr:from>
    <xdr:to>
      <xdr:col>2</xdr:col>
      <xdr:colOff>816049</xdr:colOff>
      <xdr:row>6</xdr:row>
      <xdr:rowOff>605294</xdr:rowOff>
    </xdr:to>
    <xdr:pic>
      <xdr:nvPicPr>
        <xdr:cNvPr id="10" name="IMAGEN_GENERAL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752" y="2708414"/>
          <a:ext cx="224058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2</xdr:col>
      <xdr:colOff>591991</xdr:colOff>
      <xdr:row>7</xdr:row>
      <xdr:rowOff>41414</xdr:rowOff>
    </xdr:from>
    <xdr:to>
      <xdr:col>2</xdr:col>
      <xdr:colOff>816049</xdr:colOff>
      <xdr:row>7</xdr:row>
      <xdr:rowOff>605294</xdr:rowOff>
    </xdr:to>
    <xdr:pic>
      <xdr:nvPicPr>
        <xdr:cNvPr id="11" name="IMAGEN_GENERAL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752" y="3346175"/>
          <a:ext cx="224058" cy="563880"/>
        </a:xfrm>
        <a:prstGeom prst="rect">
          <a:avLst/>
        </a:prstGeom>
        <a:ln w="12700">
          <a:noFill/>
        </a:ln>
      </xdr:spPr>
    </xdr:pic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115955</xdr:colOff>
      <xdr:row>3</xdr:row>
      <xdr:rowOff>41414</xdr:rowOff>
    </xdr:from>
    <xdr:to>
      <xdr:col>2</xdr:col>
      <xdr:colOff>1292086</xdr:colOff>
      <xdr:row>3</xdr:row>
      <xdr:rowOff>605294</xdr:rowOff>
    </xdr:to>
    <xdr:pic>
      <xdr:nvPicPr>
        <xdr:cNvPr id="9" name="IMAGEN_GENERAL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7716" y="795131"/>
          <a:ext cx="1176131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2</xdr:col>
      <xdr:colOff>107670</xdr:colOff>
      <xdr:row>4</xdr:row>
      <xdr:rowOff>33130</xdr:rowOff>
    </xdr:from>
    <xdr:to>
      <xdr:col>2</xdr:col>
      <xdr:colOff>1283803</xdr:colOff>
      <xdr:row>4</xdr:row>
      <xdr:rowOff>597010</xdr:rowOff>
    </xdr:to>
    <xdr:pic>
      <xdr:nvPicPr>
        <xdr:cNvPr id="22" name="IMAGEN_GENERAL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9431" y="1424608"/>
          <a:ext cx="1176133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0</xdr:col>
      <xdr:colOff>1</xdr:colOff>
      <xdr:row>0</xdr:row>
      <xdr:rowOff>0</xdr:rowOff>
    </xdr:from>
    <xdr:to>
      <xdr:col>5</xdr:col>
      <xdr:colOff>8281</xdr:colOff>
      <xdr:row>1</xdr:row>
      <xdr:rowOff>24848</xdr:rowOff>
    </xdr:to>
    <xdr:grpSp>
      <xdr:nvGrpSpPr>
        <xdr:cNvPr id="2" name="Grupo 1"/>
        <xdr:cNvGrpSpPr/>
      </xdr:nvGrpSpPr>
      <xdr:grpSpPr>
        <a:xfrm>
          <a:off x="1" y="0"/>
          <a:ext cx="11653628" cy="339587"/>
          <a:chOff x="1" y="0"/>
          <a:chExt cx="11653628" cy="339587"/>
        </a:xfrm>
      </xdr:grpSpPr>
      <xdr:sp macro="[0]!IR_CONSULTAR_IMAGEN" textlink="">
        <xdr:nvSpPr>
          <xdr:cNvPr id="20" name="Rectángulo 19"/>
          <xdr:cNvSpPr/>
        </xdr:nvSpPr>
        <xdr:spPr>
          <a:xfrm>
            <a:off x="1" y="0"/>
            <a:ext cx="3536674" cy="33130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BORRAR_IMAGEN" textlink="">
        <xdr:nvSpPr>
          <xdr:cNvPr id="21" name="Rectángulo 20"/>
          <xdr:cNvSpPr/>
        </xdr:nvSpPr>
        <xdr:spPr>
          <a:xfrm flipH="1">
            <a:off x="7650004" y="1989"/>
            <a:ext cx="4003625" cy="3375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NUEVA_IMAGEN" textlink="">
        <xdr:nvSpPr>
          <xdr:cNvPr id="10" name="Rectángulo 9"/>
          <xdr:cNvSpPr/>
        </xdr:nvSpPr>
        <xdr:spPr>
          <a:xfrm flipH="1">
            <a:off x="3599810" y="1989"/>
            <a:ext cx="4003624" cy="30446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0" name="DATOS_IMAGEN" displayName="DATOS_IMAGEN" ref="D3:I4" totalsRowShown="0" headerRowDxfId="15" dataDxfId="14">
  <tableColumns count="6">
    <tableColumn id="1" name="TEMÁTICA DE LA IMAGEN A MOSTRAR" dataDxfId="13"/>
    <tableColumn id="2" name="NOMBRE DE LA IMAGEN" dataDxfId="12"/>
    <tableColumn id="3" name="IMAGEN" dataDxfId="11">
      <calculatedColumnFormula>VLOOKUP(DATOS_IMAGEN[NOMBRE DE LA IMAGEN],INDIRECT("LISTA_"&amp;D4),1,0)</calculatedColumnFormula>
    </tableColumn>
    <tableColumn id="6" name="ANCHO" dataDxfId="10"/>
    <tableColumn id="5" name="ALTO" dataDxfId="9"/>
    <tableColumn id="4" name="URL DE LA IMAGEN / CÓDIGO LÁTEX DE LA FÓRMULA" dataDxfId="8">
      <calculatedColumnFormula>IFERROR(VLOOKUP(DATOS_IMAGEN[NOMBRE DE LA IMAGEN],INDIRECT("TABLA_"&amp;D4),3,0),"SELECCIONA EL NOMBRE DE LA IMAGEN PARA LA TEMÁTICA "&amp;D4)</calculatedColumnFormula>
    </tableColumn>
  </tableColumns>
  <tableStyleInfo name="Estilo de tabla nuevo" showFirstColumn="1" showLastColumn="0" showRowStripes="0" showColumnStripes="1"/>
</table>
</file>

<file path=xl/tables/table2.xml><?xml version="1.0" encoding="utf-8"?>
<table xmlns="http://schemas.openxmlformats.org/spreadsheetml/2006/main" id="6" name="LISTA_TEMATICA" displayName="LISTA_TEMATICA" ref="B3:B5" totalsRowShown="0" headerRowDxfId="7" dataDxfId="6" tableBorderDxfId="5">
  <autoFilter ref="B3:B5">
    <filterColumn colId="0" hiddenButton="1"/>
  </autoFilter>
  <sortState ref="B4:B6">
    <sortCondition ref="B6"/>
  </sortState>
  <tableColumns count="1">
    <tableColumn id="1" name="TEMATICA" dataDxfId="4"/>
  </tableColumns>
  <tableStyleInfo name="Estilo de tabla nuevo" showFirstColumn="1" showLastColumn="0" showRowStripes="1" showColumnStripes="0"/>
</table>
</file>

<file path=xl/tables/table3.xml><?xml version="1.0" encoding="utf-8"?>
<table xmlns="http://schemas.openxmlformats.org/spreadsheetml/2006/main" id="3" name="TABLA_FÓRMULAS" displayName="TABLA_FÓRMULAS" ref="B3:E5" totalsRowShown="0" headerRowDxfId="3" tableBorderDxfId="2">
  <autoFilter ref="B3:E5">
    <filterColumn colId="0" hiddenButton="1"/>
    <filterColumn colId="1" hiddenButton="1"/>
    <filterColumn colId="2" hiddenButton="1"/>
    <filterColumn colId="3" hiddenButton="1"/>
  </autoFilter>
  <tableColumns count="4">
    <tableColumn id="1" name="FÓRMULAS"/>
    <tableColumn id="2" name="IMAGEN_FÓRMULAS"/>
    <tableColumn id="3" name="URL_FÓRMULAS / LÁTEX_FÓRMULAS"/>
    <tableColumn id="4" name="DESCRIPCIÓN_FÓRMULAS"/>
  </tableColumns>
  <tableStyleInfo name="Estilo de tabla nuevo" showFirstColumn="0" showLastColumn="0" showRowStripes="1" showColumnStripes="0"/>
</table>
</file>

<file path=xl/tables/table4.xml><?xml version="1.0" encoding="utf-8"?>
<table xmlns="http://schemas.openxmlformats.org/spreadsheetml/2006/main" id="2" name="TABLA_PERSONAJES" displayName="TABLA_PERSONAJES" ref="B3:E8" totalsRowShown="0" headerRowDxfId="1" tableBorderDxfId="0">
  <autoFilter ref="B3:E8">
    <filterColumn colId="0" hiddenButton="1"/>
    <filterColumn colId="1" hiddenButton="1"/>
    <filterColumn colId="2" hiddenButton="1"/>
    <filterColumn colId="3" hiddenButton="1"/>
  </autoFilter>
  <tableColumns count="4">
    <tableColumn id="1" name="PERSONAJES"/>
    <tableColumn id="2" name="IMAGEN_PERSONAJES"/>
    <tableColumn id="3" name="URL_PERSONAJES / LÁTEX_PERSONAJES"/>
    <tableColumn id="4" name="DESCRIPCIÓN_PERSONAJES"/>
  </tableColumns>
  <tableStyleInfo name="Estilo de tabla nuevo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_00"/>
  <dimension ref="B1:I29"/>
  <sheetViews>
    <sheetView showGridLines="0" showRowColHeaders="0" tabSelected="1" zoomScale="115" zoomScaleNormal="115" workbookViewId="0">
      <pane xSplit="3" ySplit="56" topLeftCell="D90" activePane="bottomRight" state="frozen"/>
      <selection pane="topRight" activeCell="D1" sqref="D1"/>
      <selection pane="bottomLeft" activeCell="A57" sqref="A57"/>
      <selection pane="bottomRight" activeCell="H5" sqref="H5"/>
    </sheetView>
  </sheetViews>
  <sheetFormatPr baseColWidth="10" defaultRowHeight="15" x14ac:dyDescent="0.25"/>
  <cols>
    <col min="1" max="1" width="1.7109375" customWidth="1"/>
    <col min="2" max="2" width="25.5703125" customWidth="1"/>
    <col min="3" max="3" width="1.42578125" customWidth="1"/>
    <col min="4" max="5" width="38.140625" customWidth="1"/>
    <col min="6" max="6" width="20.140625" hidden="1" customWidth="1"/>
    <col min="7" max="8" width="8.28515625" customWidth="1"/>
    <col min="9" max="9" width="70.42578125" customWidth="1"/>
    <col min="10" max="10" width="1.42578125" customWidth="1"/>
  </cols>
  <sheetData>
    <row r="1" spans="2:9" ht="24.95" customHeight="1" thickBot="1" x14ac:dyDescent="0.3">
      <c r="B1" s="16" t="s">
        <v>17</v>
      </c>
      <c r="D1" s="9" t="str">
        <f>"IR A TEMÁTICA: "&amp;D4</f>
        <v>IR A TEMÁTICA: PERSONAJES</v>
      </c>
      <c r="E1" s="9" t="str">
        <f>"BORRAR TEMÁTICA: "&amp;D4</f>
        <v>BORRAR TEMÁTICA: PERSONAJES</v>
      </c>
      <c r="F1" s="4"/>
      <c r="G1" s="56" t="s">
        <v>45</v>
      </c>
      <c r="H1" s="57"/>
      <c r="I1" s="58"/>
    </row>
    <row r="2" spans="2:9" ht="24.95" hidden="1" customHeight="1" x14ac:dyDescent="0.25">
      <c r="B2" s="17">
        <f>COUNTA(LISTA_TEMATICA[TEMATICA])</f>
        <v>2</v>
      </c>
      <c r="D2" s="3" t="s">
        <v>4</v>
      </c>
      <c r="E2" s="3" t="s">
        <v>9</v>
      </c>
    </row>
    <row r="3" spans="2:9" ht="24.95" customHeight="1" x14ac:dyDescent="0.25">
      <c r="B3" s="51" t="s">
        <v>12</v>
      </c>
      <c r="D3" s="2" t="s">
        <v>11</v>
      </c>
      <c r="E3" s="11" t="s">
        <v>10</v>
      </c>
      <c r="F3" s="1" t="s">
        <v>1</v>
      </c>
      <c r="G3" s="11" t="s">
        <v>2</v>
      </c>
      <c r="H3" s="11" t="s">
        <v>3</v>
      </c>
      <c r="I3" s="11" t="s">
        <v>26</v>
      </c>
    </row>
    <row r="4" spans="2:9" x14ac:dyDescent="0.25">
      <c r="B4" s="52" t="s">
        <v>51</v>
      </c>
      <c r="C4" t="s">
        <v>8</v>
      </c>
      <c r="D4" s="6" t="s">
        <v>51</v>
      </c>
      <c r="E4" s="7" t="s">
        <v>28</v>
      </c>
      <c r="F4" s="6" t="str">
        <f ca="1">VLOOKUP(DATOS_IMAGEN[NOMBRE DE LA IMAGEN],INDIRECT("LISTA_"&amp;D4),1,0)</f>
        <v>CHICA_ESPALDAS_IZQ_1</v>
      </c>
      <c r="G4" s="7"/>
      <c r="H4" s="7">
        <v>300</v>
      </c>
      <c r="I4" s="55" t="str">
        <f ca="1">IFERROR(VLOOKUP(DATOS_IMAGEN[NOMBRE DE LA IMAGEN],INDIRECT("TABLA_"&amp;D4),3,0),"SELECCIONA EL NOMBRE DE LA IMAGEN PARA LA TEMÁTICA "&amp;D4)</f>
        <v>https://drive.google.com/open?id=1B9ATB4ZfyHy_upup88DaucK_aUiZE05i&amp;authuser=milagros.huerta%40gm.uca.es&amp;usp=drive_fs</v>
      </c>
    </row>
    <row r="5" spans="2:9" x14ac:dyDescent="0.25">
      <c r="B5" s="54" t="s">
        <v>39</v>
      </c>
    </row>
    <row r="6" spans="2:9" ht="15.75" x14ac:dyDescent="0.25">
      <c r="D6" s="22" t="str">
        <f>"LISTA_"&amp;DATOS_IMAGEN[TEMÁTICA DE LA IMAGEN A MOSTRAR]</f>
        <v>LISTA_PERSONAJES</v>
      </c>
      <c r="I6" s="5" t="str">
        <f>"COPIAR "&amp;DATOS_IMAGEN[[#Headers],[URL DE LA IMAGEN / CÓDIGO LÁTEX DE LA FÓRMULA]]</f>
        <v>COPIAR URL DE LA IMAGEN / CÓDIGO LÁTEX DE LA FÓRMULA</v>
      </c>
    </row>
    <row r="8" spans="2:9" ht="15.75" x14ac:dyDescent="0.25">
      <c r="I8" s="5" t="s">
        <v>13</v>
      </c>
    </row>
    <row r="9" spans="2:9" x14ac:dyDescent="0.25">
      <c r="I9" s="8" t="str">
        <f ca="1">I10&amp;I11&amp;I12</f>
        <v>1B9ATB4ZfyHy_upup88DaucK_aUiZE05i</v>
      </c>
    </row>
    <row r="10" spans="2:9" x14ac:dyDescent="0.25">
      <c r="I10" s="10" t="str">
        <f ca="1">IFERROR(MID(DATOS_IMAGEN[URL DE LA IMAGEN / CÓDIGO LÁTEX DE LA FÓRMULA],FIND("id=",DATOS_IMAGEN[URL DE LA IMAGEN / CÓDIGO LÁTEX DE LA FÓRMULA],1)+3,33),"")</f>
        <v>1B9ATB4ZfyHy_upup88DaucK_aUiZE05i</v>
      </c>
    </row>
    <row r="11" spans="2:9" x14ac:dyDescent="0.25">
      <c r="I11" s="10" t="str">
        <f ca="1">IFERROR(MID(DATOS_IMAGEN[URL DE LA IMAGEN / CÓDIGO LÁTEX DE LA FÓRMULA],FIND("/d/",DATOS_IMAGEN[URL DE LA IMAGEN / CÓDIGO LÁTEX DE LA FÓRMULA],1)+3,33),"")</f>
        <v/>
      </c>
    </row>
    <row r="12" spans="2:9" ht="15.75" thickBot="1" x14ac:dyDescent="0.3">
      <c r="H12" s="13" t="str">
        <f ca="1">H14&amp;H16</f>
        <v>DRIVE</v>
      </c>
      <c r="I12" s="10" t="str">
        <f ca="1">IFERROR(MID(DATOS_IMAGEN[URL DE LA IMAGEN / CÓDIGO LÁTEX DE LA FÓRMULA],FIND("/s/",DATOS_IMAGEN[URL DE LA IMAGEN / CÓDIGO LÁTEX DE LA FÓRMULA],1)+3,1000),"")</f>
        <v/>
      </c>
    </row>
    <row r="13" spans="2:9" ht="15.75" thickTop="1" x14ac:dyDescent="0.25">
      <c r="I13" s="14" t="s">
        <v>15</v>
      </c>
    </row>
    <row r="14" spans="2:9" ht="15.75" thickBot="1" x14ac:dyDescent="0.3">
      <c r="H14" s="12" t="str">
        <f ca="1">IFERROR(IF(FIND("drive",DATOS_IMAGEN[URL DE LA IMAGEN / CÓDIGO LÁTEX DE LA FÓRMULA],1)&gt;1,"DRIVE",""),"")</f>
        <v>DRIVE</v>
      </c>
      <c r="I14" s="41" t="s">
        <v>14</v>
      </c>
    </row>
    <row r="15" spans="2:9" ht="15.75" thickTop="1" x14ac:dyDescent="0.25">
      <c r="I15" s="14" t="s">
        <v>16</v>
      </c>
    </row>
    <row r="16" spans="2:9" ht="15.75" thickBot="1" x14ac:dyDescent="0.3">
      <c r="H16" s="13" t="str">
        <f ca="1">IFERROR(IF(FIND("dropbox",DATOS_IMAGEN[URL DE LA IMAGEN / CÓDIGO LÁTEX DE LA FÓRMULA],1)&gt;1,"DROPBOX",""),"")</f>
        <v/>
      </c>
      <c r="I16" s="41" t="s">
        <v>0</v>
      </c>
    </row>
    <row r="17" spans="4:9" ht="15.75" thickTop="1" x14ac:dyDescent="0.25">
      <c r="I17" s="14" t="s">
        <v>18</v>
      </c>
    </row>
    <row r="18" spans="4:9" ht="15.75" thickBot="1" x14ac:dyDescent="0.3">
      <c r="I18" s="15" t="s">
        <v>19</v>
      </c>
    </row>
    <row r="19" spans="4:9" ht="15.75" thickTop="1" x14ac:dyDescent="0.25">
      <c r="I19" s="14" t="s">
        <v>22</v>
      </c>
    </row>
    <row r="20" spans="4:9" ht="15.75" thickBot="1" x14ac:dyDescent="0.3">
      <c r="I20" s="41" t="s">
        <v>24</v>
      </c>
    </row>
    <row r="21" spans="4:9" ht="15.75" thickTop="1" x14ac:dyDescent="0.25">
      <c r="I21" s="14" t="s">
        <v>23</v>
      </c>
    </row>
    <row r="22" spans="4:9" ht="15.75" thickBot="1" x14ac:dyDescent="0.3">
      <c r="I22" s="15" t="s">
        <v>25</v>
      </c>
    </row>
    <row r="23" spans="4:9" ht="15.75" thickTop="1" x14ac:dyDescent="0.25">
      <c r="I23" s="40"/>
    </row>
    <row r="24" spans="4:9" x14ac:dyDescent="0.25">
      <c r="I24" s="63"/>
    </row>
    <row r="25" spans="4:9" x14ac:dyDescent="0.25">
      <c r="I25" s="63"/>
    </row>
    <row r="26" spans="4:9" ht="15.75" thickBot="1" x14ac:dyDescent="0.3">
      <c r="I26" s="63"/>
    </row>
    <row r="27" spans="4:9" ht="15.75" thickTop="1" x14ac:dyDescent="0.25">
      <c r="D27" s="59" t="str">
        <f ca="1">IFERROR(VLOOKUP(DATOS_IMAGEN[NOMBRE DE LA IMAGEN],INDIRECT("TABLA_"&amp;D4),4,0),"SELECCIONA EL NOMBRE DE LA IMAGEN PARA LA TEMÁTICA "&amp;D4)</f>
        <v>Chica andando de espaldas, primer paso.</v>
      </c>
      <c r="E27" s="60"/>
      <c r="I27" s="63"/>
    </row>
    <row r="28" spans="4:9" ht="15.75" thickBot="1" x14ac:dyDescent="0.3">
      <c r="D28" s="61"/>
      <c r="E28" s="62"/>
      <c r="I28" s="63"/>
    </row>
    <row r="29" spans="4:9" ht="15.75" thickTop="1" x14ac:dyDescent="0.25"/>
  </sheetData>
  <sheetProtection selectLockedCells="1"/>
  <mergeCells count="3">
    <mergeCell ref="G1:I1"/>
    <mergeCell ref="D27:E28"/>
    <mergeCell ref="I24:I28"/>
  </mergeCells>
  <conditionalFormatting sqref="I4">
    <cfRule type="containsText" dxfId="17" priority="2" operator="containsText" text="SELECCIONA">
      <formula>NOT(ISERROR(SEARCH("SELECCIONA",I4)))</formula>
    </cfRule>
  </conditionalFormatting>
  <conditionalFormatting sqref="I9">
    <cfRule type="cellIs" dxfId="16" priority="1" operator="equal">
      <formula>"MAL"</formula>
    </cfRule>
  </conditionalFormatting>
  <dataValidations xWindow="892" yWindow="219" count="2">
    <dataValidation type="list" errorStyle="warning" allowBlank="1" promptTitle="NOMBRE IMAGEN" prompt="Selecciona el nombre de la imagen que quieres obtener." sqref="E4">
      <formula1>INDIRECT(D6)</formula1>
    </dataValidation>
    <dataValidation type="list" allowBlank="1" showInputMessage="1" showErrorMessage="1" sqref="D4">
      <formula1>$B$4:$B$5</formula1>
    </dataValidation>
  </dataValidations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03"/>
  <dimension ref="B1:G103"/>
  <sheetViews>
    <sheetView showGridLines="0" showRowColHeaders="0" zoomScale="115" zoomScaleNormal="115" workbookViewId="0">
      <pane xSplit="3" ySplit="3" topLeftCell="D4" activePane="bottomRight" state="frozen"/>
      <selection activeCell="B4" sqref="B4"/>
      <selection pane="topRight" activeCell="B4" sqref="B4"/>
      <selection pane="bottomLeft" activeCell="B4" sqref="B4"/>
      <selection pane="bottomRight" activeCell="D5" sqref="D5"/>
    </sheetView>
  </sheetViews>
  <sheetFormatPr baseColWidth="10" defaultRowHeight="15" x14ac:dyDescent="0.25"/>
  <cols>
    <col min="1" max="1" width="1.7109375" style="38" customWidth="1"/>
    <col min="2" max="2" width="30.7109375" style="38" customWidth="1"/>
    <col min="3" max="3" width="22.42578125" style="38" customWidth="1"/>
    <col min="4" max="5" width="60.7109375" style="38" customWidth="1"/>
    <col min="6" max="6" width="4.7109375" style="38" customWidth="1"/>
    <col min="7" max="7" width="9.140625" style="38" bestFit="1" customWidth="1"/>
    <col min="8" max="16384" width="11.42578125" style="38"/>
  </cols>
  <sheetData>
    <row r="1" spans="2:7" s="29" customFormat="1" ht="24.95" customHeight="1" x14ac:dyDescent="0.25">
      <c r="B1" s="64" t="s">
        <v>9</v>
      </c>
      <c r="C1" s="64"/>
      <c r="D1" s="50" t="s">
        <v>21</v>
      </c>
      <c r="E1" s="50" t="s">
        <v>50</v>
      </c>
      <c r="F1" s="27">
        <f>COUNTA(B:B)-2</f>
        <v>2</v>
      </c>
      <c r="G1" s="28" t="s">
        <v>20</v>
      </c>
    </row>
    <row r="2" spans="2:7" s="34" customFormat="1" ht="5.0999999999999996" customHeight="1" x14ac:dyDescent="0.25">
      <c r="B2" s="30"/>
      <c r="C2" s="30"/>
      <c r="D2" s="30"/>
      <c r="E2" s="31"/>
      <c r="F2" s="32"/>
      <c r="G2" s="33"/>
    </row>
    <row r="3" spans="2:7" s="29" customFormat="1" ht="30" customHeight="1" x14ac:dyDescent="0.25">
      <c r="B3" s="43" t="s">
        <v>39</v>
      </c>
      <c r="C3" s="43" t="s">
        <v>40</v>
      </c>
      <c r="D3" s="43" t="s">
        <v>41</v>
      </c>
      <c r="E3" s="43" t="s">
        <v>42</v>
      </c>
    </row>
    <row r="4" spans="2:7" ht="50.25" customHeight="1" x14ac:dyDescent="0.25">
      <c r="B4" s="42" t="s">
        <v>47</v>
      </c>
      <c r="C4" s="19"/>
      <c r="D4" s="23" t="s">
        <v>43</v>
      </c>
      <c r="E4" s="23" t="s">
        <v>44</v>
      </c>
    </row>
    <row r="5" spans="2:7" ht="50.25" customHeight="1" x14ac:dyDescent="0.25">
      <c r="B5" s="47" t="s">
        <v>46</v>
      </c>
      <c r="C5" s="46"/>
      <c r="D5" s="47" t="s">
        <v>49</v>
      </c>
      <c r="E5" s="48" t="s">
        <v>48</v>
      </c>
    </row>
    <row r="6" spans="2:7" ht="50.25" customHeight="1" x14ac:dyDescent="0.25">
      <c r="B6" s="29"/>
      <c r="C6" s="39"/>
      <c r="D6" s="29"/>
    </row>
    <row r="7" spans="2:7" ht="50.25" customHeight="1" x14ac:dyDescent="0.25">
      <c r="B7" s="29"/>
      <c r="C7" s="39"/>
      <c r="D7" s="29"/>
    </row>
    <row r="8" spans="2:7" ht="50.25" customHeight="1" x14ac:dyDescent="0.25">
      <c r="B8" s="29"/>
      <c r="C8" s="39"/>
      <c r="D8" s="29"/>
    </row>
    <row r="9" spans="2:7" ht="50.25" customHeight="1" x14ac:dyDescent="0.25">
      <c r="B9" s="29"/>
      <c r="C9" s="39"/>
      <c r="D9" s="29"/>
    </row>
    <row r="10" spans="2:7" ht="50.25" customHeight="1" x14ac:dyDescent="0.25">
      <c r="B10" s="29"/>
      <c r="C10" s="39"/>
      <c r="D10" s="29"/>
    </row>
    <row r="11" spans="2:7" ht="50.25" customHeight="1" x14ac:dyDescent="0.25">
      <c r="B11" s="29"/>
      <c r="C11" s="39"/>
      <c r="D11" s="29"/>
    </row>
    <row r="12" spans="2:7" ht="50.25" customHeight="1" x14ac:dyDescent="0.25">
      <c r="B12" s="29"/>
      <c r="C12" s="39"/>
      <c r="D12" s="29"/>
    </row>
    <row r="13" spans="2:7" ht="50.25" customHeight="1" x14ac:dyDescent="0.25">
      <c r="B13" s="29"/>
      <c r="C13" s="39"/>
      <c r="D13" s="29"/>
    </row>
    <row r="14" spans="2:7" ht="50.25" customHeight="1" x14ac:dyDescent="0.25">
      <c r="B14" s="29"/>
      <c r="C14" s="39"/>
      <c r="D14" s="29"/>
    </row>
    <row r="15" spans="2:7" ht="50.25" customHeight="1" x14ac:dyDescent="0.25">
      <c r="B15" s="29"/>
      <c r="C15" s="39"/>
      <c r="D15" s="29"/>
    </row>
    <row r="16" spans="2:7" ht="50.25" customHeight="1" x14ac:dyDescent="0.25">
      <c r="B16" s="29"/>
      <c r="C16" s="39"/>
      <c r="D16" s="29"/>
    </row>
    <row r="17" spans="2:4" ht="50.25" customHeight="1" x14ac:dyDescent="0.25">
      <c r="B17" s="29"/>
      <c r="C17" s="39"/>
      <c r="D17" s="29"/>
    </row>
    <row r="18" spans="2:4" ht="50.25" customHeight="1" x14ac:dyDescent="0.25">
      <c r="B18" s="29"/>
      <c r="C18" s="39"/>
      <c r="D18" s="29"/>
    </row>
    <row r="19" spans="2:4" ht="50.25" customHeight="1" x14ac:dyDescent="0.25"/>
    <row r="20" spans="2:4" ht="50.25" customHeight="1" x14ac:dyDescent="0.25"/>
    <row r="21" spans="2:4" ht="50.25" customHeight="1" x14ac:dyDescent="0.25"/>
    <row r="22" spans="2:4" ht="50.25" customHeight="1" x14ac:dyDescent="0.25"/>
    <row r="23" spans="2:4" ht="50.25" customHeight="1" x14ac:dyDescent="0.25"/>
    <row r="24" spans="2:4" ht="50.25" customHeight="1" x14ac:dyDescent="0.25"/>
    <row r="25" spans="2:4" ht="50.25" customHeight="1" x14ac:dyDescent="0.25"/>
    <row r="26" spans="2:4" ht="50.25" customHeight="1" x14ac:dyDescent="0.25"/>
    <row r="27" spans="2:4" ht="50.25" customHeight="1" x14ac:dyDescent="0.25"/>
    <row r="28" spans="2:4" ht="50.25" customHeight="1" x14ac:dyDescent="0.25"/>
    <row r="29" spans="2:4" ht="50.25" customHeight="1" x14ac:dyDescent="0.25"/>
    <row r="30" spans="2:4" ht="50.25" customHeight="1" x14ac:dyDescent="0.25"/>
    <row r="31" spans="2:4" ht="50.25" customHeight="1" x14ac:dyDescent="0.25"/>
    <row r="32" spans="2:4" ht="50.25" customHeight="1" x14ac:dyDescent="0.25"/>
    <row r="33" ht="50.25" customHeight="1" x14ac:dyDescent="0.25"/>
    <row r="34" ht="50.25" customHeight="1" x14ac:dyDescent="0.25"/>
    <row r="35" ht="50.25" customHeight="1" x14ac:dyDescent="0.25"/>
    <row r="36" ht="50.25" customHeight="1" x14ac:dyDescent="0.25"/>
    <row r="37" ht="50.25" customHeight="1" x14ac:dyDescent="0.25"/>
    <row r="38" ht="50.25" customHeight="1" x14ac:dyDescent="0.25"/>
    <row r="39" ht="50.25" customHeight="1" x14ac:dyDescent="0.25"/>
    <row r="40" ht="50.25" customHeight="1" x14ac:dyDescent="0.25"/>
    <row r="41" ht="50.25" customHeight="1" x14ac:dyDescent="0.25"/>
    <row r="42" ht="50.25" customHeight="1" x14ac:dyDescent="0.25"/>
    <row r="43" ht="50.25" customHeight="1" x14ac:dyDescent="0.25"/>
    <row r="44" ht="50.25" customHeight="1" x14ac:dyDescent="0.25"/>
    <row r="45" ht="50.25" customHeight="1" x14ac:dyDescent="0.25"/>
    <row r="46" ht="50.25" customHeight="1" x14ac:dyDescent="0.25"/>
    <row r="47" ht="50.25" customHeight="1" x14ac:dyDescent="0.25"/>
    <row r="48" ht="50.25" customHeight="1" x14ac:dyDescent="0.25"/>
    <row r="49" ht="50.25" customHeight="1" x14ac:dyDescent="0.25"/>
    <row r="50" ht="50.25" customHeight="1" x14ac:dyDescent="0.25"/>
    <row r="51" ht="50.25" customHeight="1" x14ac:dyDescent="0.25"/>
    <row r="52" ht="50.25" customHeight="1" x14ac:dyDescent="0.25"/>
    <row r="53" ht="50.25" customHeight="1" x14ac:dyDescent="0.25"/>
    <row r="54" ht="50.25" customHeight="1" x14ac:dyDescent="0.25"/>
    <row r="55" ht="50.25" customHeight="1" x14ac:dyDescent="0.25"/>
    <row r="56" ht="50.25" customHeight="1" x14ac:dyDescent="0.25"/>
    <row r="57" ht="50.25" customHeight="1" x14ac:dyDescent="0.25"/>
    <row r="58" ht="50.25" customHeight="1" x14ac:dyDescent="0.25"/>
    <row r="59" ht="50.25" customHeight="1" x14ac:dyDescent="0.25"/>
    <row r="60" ht="50.25" customHeight="1" x14ac:dyDescent="0.25"/>
    <row r="61" ht="50.25" customHeight="1" x14ac:dyDescent="0.25"/>
    <row r="62" ht="50.25" customHeight="1" x14ac:dyDescent="0.25"/>
    <row r="63" ht="50.25" customHeight="1" x14ac:dyDescent="0.25"/>
    <row r="64" ht="50.25" customHeight="1" x14ac:dyDescent="0.25"/>
    <row r="65" ht="50.25" customHeight="1" x14ac:dyDescent="0.25"/>
    <row r="66" ht="50.25" customHeight="1" x14ac:dyDescent="0.25"/>
    <row r="67" ht="50.25" customHeight="1" x14ac:dyDescent="0.25"/>
    <row r="68" ht="50.25" customHeight="1" x14ac:dyDescent="0.25"/>
    <row r="69" ht="50.25" customHeight="1" x14ac:dyDescent="0.25"/>
    <row r="70" ht="50.25" customHeight="1" x14ac:dyDescent="0.25"/>
    <row r="71" ht="50.25" customHeight="1" x14ac:dyDescent="0.25"/>
    <row r="72" ht="50.25" customHeight="1" x14ac:dyDescent="0.25"/>
    <row r="73" ht="50.25" customHeight="1" x14ac:dyDescent="0.25"/>
    <row r="74" ht="50.25" customHeight="1" x14ac:dyDescent="0.25"/>
    <row r="75" ht="50.25" customHeight="1" x14ac:dyDescent="0.25"/>
    <row r="76" ht="50.25" customHeight="1" x14ac:dyDescent="0.25"/>
    <row r="77" ht="50.25" customHeight="1" x14ac:dyDescent="0.25"/>
    <row r="78" ht="50.25" customHeight="1" x14ac:dyDescent="0.25"/>
    <row r="79" ht="50.25" customHeight="1" x14ac:dyDescent="0.25"/>
    <row r="80" ht="50.25" customHeight="1" x14ac:dyDescent="0.25"/>
    <row r="81" ht="50.25" customHeight="1" x14ac:dyDescent="0.25"/>
    <row r="82" ht="50.25" customHeight="1" x14ac:dyDescent="0.25"/>
    <row r="83" ht="50.25" customHeight="1" x14ac:dyDescent="0.25"/>
    <row r="84" ht="50.25" customHeight="1" x14ac:dyDescent="0.25"/>
    <row r="85" ht="50.25" customHeight="1" x14ac:dyDescent="0.25"/>
    <row r="86" ht="50.25" customHeight="1" x14ac:dyDescent="0.25"/>
    <row r="87" ht="50.25" customHeight="1" x14ac:dyDescent="0.25"/>
    <row r="88" ht="50.25" customHeight="1" x14ac:dyDescent="0.25"/>
    <row r="89" ht="50.25" customHeight="1" x14ac:dyDescent="0.25"/>
    <row r="90" ht="50.25" customHeight="1" x14ac:dyDescent="0.25"/>
    <row r="91" ht="50.25" customHeight="1" x14ac:dyDescent="0.25"/>
    <row r="92" ht="50.25" customHeight="1" x14ac:dyDescent="0.25"/>
    <row r="93" ht="50.25" customHeight="1" x14ac:dyDescent="0.25"/>
    <row r="94" ht="50.25" customHeight="1" x14ac:dyDescent="0.25"/>
    <row r="95" ht="50.25" customHeight="1" x14ac:dyDescent="0.25"/>
    <row r="96" ht="50.25" customHeight="1" x14ac:dyDescent="0.25"/>
    <row r="97" ht="50.25" customHeight="1" x14ac:dyDescent="0.25"/>
    <row r="98" ht="50.25" customHeight="1" x14ac:dyDescent="0.25"/>
    <row r="99" ht="50.25" customHeight="1" x14ac:dyDescent="0.25"/>
    <row r="100" ht="50.25" customHeight="1" x14ac:dyDescent="0.25"/>
    <row r="101" ht="50.25" customHeight="1" x14ac:dyDescent="0.25"/>
    <row r="102" ht="50.25" customHeight="1" x14ac:dyDescent="0.25"/>
    <row r="103" ht="50.25" customHeight="1" x14ac:dyDescent="0.25"/>
  </sheetData>
  <sheetProtection algorithmName="SHA-512" hashValue="QgJK3sjZxzix7UGCuhX1mKLoc2Q9rf+JZMkj/IQCxln1H0qypnMdHYYbhu77R3IwSRYptZM9bxQsaei68GIW+A==" saltValue="B6UnANlOKSPWggcJi+X7vg==" spinCount="100000" sheet="1" objects="1" scenarios="1" selectLockedCells="1"/>
  <mergeCells count="1">
    <mergeCell ref="B1:C1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02"/>
  <dimension ref="B1:G103"/>
  <sheetViews>
    <sheetView showGridLines="0" showRowColHeaders="0" zoomScale="115" zoomScaleNormal="115" workbookViewId="0">
      <pane xSplit="3" ySplit="3" topLeftCell="D4" activePane="bottomRight" state="frozen"/>
      <selection activeCell="B4" sqref="B4"/>
      <selection pane="topRight" activeCell="B4" sqref="B4"/>
      <selection pane="bottomLeft" activeCell="B4" sqref="B4"/>
      <selection pane="bottomRight" activeCell="C6" sqref="C6"/>
    </sheetView>
  </sheetViews>
  <sheetFormatPr baseColWidth="10" defaultRowHeight="15" x14ac:dyDescent="0.25"/>
  <cols>
    <col min="1" max="1" width="1.7109375" style="38" customWidth="1"/>
    <col min="2" max="2" width="30.7109375" style="38" customWidth="1"/>
    <col min="3" max="3" width="23.5703125" style="38" customWidth="1"/>
    <col min="4" max="5" width="60.7109375" style="38" customWidth="1"/>
    <col min="6" max="6" width="4.7109375" style="38" customWidth="1"/>
    <col min="7" max="7" width="9.140625" style="38" bestFit="1" customWidth="1"/>
    <col min="8" max="16384" width="11.42578125" style="38"/>
  </cols>
  <sheetData>
    <row r="1" spans="2:7" s="29" customFormat="1" ht="24.95" customHeight="1" x14ac:dyDescent="0.25">
      <c r="B1" s="64" t="s">
        <v>9</v>
      </c>
      <c r="C1" s="64"/>
      <c r="D1" s="50" t="s">
        <v>21</v>
      </c>
      <c r="E1" s="50" t="s">
        <v>50</v>
      </c>
      <c r="F1" s="27">
        <f>COUNTA(B:B)-2</f>
        <v>5</v>
      </c>
      <c r="G1" s="28" t="s">
        <v>20</v>
      </c>
    </row>
    <row r="2" spans="2:7" s="34" customFormat="1" ht="5.0999999999999996" customHeight="1" x14ac:dyDescent="0.25">
      <c r="B2" s="30"/>
      <c r="C2" s="30"/>
      <c r="D2" s="30"/>
      <c r="E2" s="31"/>
      <c r="F2" s="32"/>
      <c r="G2" s="33"/>
    </row>
    <row r="3" spans="2:7" s="29" customFormat="1" ht="30" customHeight="1" x14ac:dyDescent="0.25">
      <c r="B3" s="43" t="s">
        <v>51</v>
      </c>
      <c r="C3" s="43" t="s">
        <v>52</v>
      </c>
      <c r="D3" s="43" t="s">
        <v>53</v>
      </c>
      <c r="E3" s="43" t="s">
        <v>54</v>
      </c>
    </row>
    <row r="4" spans="2:7" ht="50.25" customHeight="1" x14ac:dyDescent="0.25">
      <c r="B4" s="42" t="s">
        <v>28</v>
      </c>
      <c r="C4" s="19"/>
      <c r="D4" s="23" t="s">
        <v>29</v>
      </c>
      <c r="E4" s="23" t="s">
        <v>30</v>
      </c>
    </row>
    <row r="5" spans="2:7" ht="50.25" customHeight="1" x14ac:dyDescent="0.25">
      <c r="B5" s="44" t="s">
        <v>31</v>
      </c>
      <c r="C5" s="46"/>
      <c r="D5" s="45" t="s">
        <v>32</v>
      </c>
      <c r="E5" s="45" t="s">
        <v>33</v>
      </c>
    </row>
    <row r="6" spans="2:7" ht="50.25" customHeight="1" x14ac:dyDescent="0.25">
      <c r="B6" s="47" t="s">
        <v>34</v>
      </c>
      <c r="C6" s="46"/>
      <c r="D6" s="53" t="s">
        <v>35</v>
      </c>
      <c r="E6" s="48" t="s">
        <v>36</v>
      </c>
    </row>
    <row r="7" spans="2:7" ht="50.25" customHeight="1" x14ac:dyDescent="0.25">
      <c r="B7" s="47" t="s">
        <v>55</v>
      </c>
      <c r="C7" s="46"/>
      <c r="D7" s="53" t="s">
        <v>37</v>
      </c>
      <c r="E7" s="48" t="s">
        <v>38</v>
      </c>
    </row>
    <row r="8" spans="2:7" ht="50.25" customHeight="1" x14ac:dyDescent="0.25">
      <c r="B8" s="47" t="s">
        <v>56</v>
      </c>
      <c r="C8" s="46"/>
      <c r="D8" s="53" t="s">
        <v>58</v>
      </c>
      <c r="E8" s="48" t="s">
        <v>57</v>
      </c>
    </row>
    <row r="9" spans="2:7" ht="50.25" customHeight="1" x14ac:dyDescent="0.25">
      <c r="B9" s="29"/>
      <c r="C9" s="39"/>
      <c r="D9" s="29"/>
    </row>
    <row r="10" spans="2:7" ht="50.25" customHeight="1" x14ac:dyDescent="0.25">
      <c r="B10" s="29"/>
      <c r="C10" s="39"/>
      <c r="D10" s="29"/>
    </row>
    <row r="11" spans="2:7" ht="50.25" customHeight="1" x14ac:dyDescent="0.25">
      <c r="B11" s="29"/>
      <c r="C11" s="39"/>
      <c r="D11" s="29"/>
    </row>
    <row r="12" spans="2:7" ht="50.25" customHeight="1" x14ac:dyDescent="0.25">
      <c r="B12" s="29"/>
      <c r="C12" s="39"/>
      <c r="D12" s="29"/>
    </row>
    <row r="13" spans="2:7" ht="50.25" customHeight="1" x14ac:dyDescent="0.25">
      <c r="B13" s="29"/>
      <c r="C13" s="39"/>
      <c r="D13" s="29"/>
    </row>
    <row r="14" spans="2:7" ht="50.25" customHeight="1" x14ac:dyDescent="0.25">
      <c r="B14" s="29"/>
      <c r="C14" s="39"/>
      <c r="D14" s="29"/>
    </row>
    <row r="15" spans="2:7" ht="50.25" customHeight="1" x14ac:dyDescent="0.25">
      <c r="B15" s="29"/>
      <c r="C15" s="39"/>
      <c r="D15" s="29"/>
    </row>
    <row r="16" spans="2:7" ht="50.25" customHeight="1" x14ac:dyDescent="0.25">
      <c r="B16" s="29"/>
      <c r="C16" s="39"/>
      <c r="D16" s="29"/>
    </row>
    <row r="17" spans="2:4" ht="50.25" customHeight="1" x14ac:dyDescent="0.25">
      <c r="B17" s="29"/>
      <c r="C17" s="39"/>
      <c r="D17" s="29"/>
    </row>
    <row r="18" spans="2:4" ht="50.25" customHeight="1" x14ac:dyDescent="0.25">
      <c r="B18" s="29"/>
      <c r="C18" s="39"/>
      <c r="D18" s="29"/>
    </row>
    <row r="19" spans="2:4" ht="50.25" customHeight="1" x14ac:dyDescent="0.25"/>
    <row r="20" spans="2:4" ht="50.25" customHeight="1" x14ac:dyDescent="0.25"/>
    <row r="21" spans="2:4" ht="50.25" customHeight="1" x14ac:dyDescent="0.25"/>
    <row r="22" spans="2:4" ht="50.25" customHeight="1" x14ac:dyDescent="0.25"/>
    <row r="23" spans="2:4" ht="50.25" customHeight="1" x14ac:dyDescent="0.25"/>
    <row r="24" spans="2:4" ht="50.25" customHeight="1" x14ac:dyDescent="0.25"/>
    <row r="25" spans="2:4" ht="50.25" customHeight="1" x14ac:dyDescent="0.25"/>
    <row r="26" spans="2:4" ht="50.25" customHeight="1" x14ac:dyDescent="0.25"/>
    <row r="27" spans="2:4" ht="50.25" customHeight="1" x14ac:dyDescent="0.25"/>
    <row r="28" spans="2:4" ht="50.25" customHeight="1" x14ac:dyDescent="0.25"/>
    <row r="29" spans="2:4" ht="50.25" customHeight="1" x14ac:dyDescent="0.25"/>
    <row r="30" spans="2:4" ht="50.25" customHeight="1" x14ac:dyDescent="0.25"/>
    <row r="31" spans="2:4" ht="50.25" customHeight="1" x14ac:dyDescent="0.25"/>
    <row r="32" spans="2:4" ht="50.25" customHeight="1" x14ac:dyDescent="0.25"/>
    <row r="33" ht="50.25" customHeight="1" x14ac:dyDescent="0.25"/>
    <row r="34" ht="50.25" customHeight="1" x14ac:dyDescent="0.25"/>
    <row r="35" ht="50.25" customHeight="1" x14ac:dyDescent="0.25"/>
    <row r="36" ht="50.25" customHeight="1" x14ac:dyDescent="0.25"/>
    <row r="37" ht="50.25" customHeight="1" x14ac:dyDescent="0.25"/>
    <row r="38" ht="50.25" customHeight="1" x14ac:dyDescent="0.25"/>
    <row r="39" ht="50.25" customHeight="1" x14ac:dyDescent="0.25"/>
    <row r="40" ht="50.25" customHeight="1" x14ac:dyDescent="0.25"/>
    <row r="41" ht="50.25" customHeight="1" x14ac:dyDescent="0.25"/>
    <row r="42" ht="50.25" customHeight="1" x14ac:dyDescent="0.25"/>
    <row r="43" ht="50.25" customHeight="1" x14ac:dyDescent="0.25"/>
    <row r="44" ht="50.25" customHeight="1" x14ac:dyDescent="0.25"/>
    <row r="45" ht="50.25" customHeight="1" x14ac:dyDescent="0.25"/>
    <row r="46" ht="50.25" customHeight="1" x14ac:dyDescent="0.25"/>
    <row r="47" ht="50.25" customHeight="1" x14ac:dyDescent="0.25"/>
    <row r="48" ht="50.25" customHeight="1" x14ac:dyDescent="0.25"/>
    <row r="49" ht="50.25" customHeight="1" x14ac:dyDescent="0.25"/>
    <row r="50" ht="50.25" customHeight="1" x14ac:dyDescent="0.25"/>
    <row r="51" ht="50.25" customHeight="1" x14ac:dyDescent="0.25"/>
    <row r="52" ht="50.25" customHeight="1" x14ac:dyDescent="0.25"/>
    <row r="53" ht="50.25" customHeight="1" x14ac:dyDescent="0.25"/>
    <row r="54" ht="50.25" customHeight="1" x14ac:dyDescent="0.25"/>
    <row r="55" ht="50.25" customHeight="1" x14ac:dyDescent="0.25"/>
    <row r="56" ht="50.25" customHeight="1" x14ac:dyDescent="0.25"/>
    <row r="57" ht="50.25" customHeight="1" x14ac:dyDescent="0.25"/>
    <row r="58" ht="50.25" customHeight="1" x14ac:dyDescent="0.25"/>
    <row r="59" ht="50.25" customHeight="1" x14ac:dyDescent="0.25"/>
    <row r="60" ht="50.25" customHeight="1" x14ac:dyDescent="0.25"/>
    <row r="61" ht="50.25" customHeight="1" x14ac:dyDescent="0.25"/>
    <row r="62" ht="50.25" customHeight="1" x14ac:dyDescent="0.25"/>
    <row r="63" ht="50.25" customHeight="1" x14ac:dyDescent="0.25"/>
    <row r="64" ht="50.25" customHeight="1" x14ac:dyDescent="0.25"/>
    <row r="65" ht="50.25" customHeight="1" x14ac:dyDescent="0.25"/>
    <row r="66" ht="50.25" customHeight="1" x14ac:dyDescent="0.25"/>
    <row r="67" ht="50.25" customHeight="1" x14ac:dyDescent="0.25"/>
    <row r="68" ht="50.25" customHeight="1" x14ac:dyDescent="0.25"/>
    <row r="69" ht="50.25" customHeight="1" x14ac:dyDescent="0.25"/>
    <row r="70" ht="50.25" customHeight="1" x14ac:dyDescent="0.25"/>
    <row r="71" ht="50.25" customHeight="1" x14ac:dyDescent="0.25"/>
    <row r="72" ht="50.25" customHeight="1" x14ac:dyDescent="0.25"/>
    <row r="73" ht="50.25" customHeight="1" x14ac:dyDescent="0.25"/>
    <row r="74" ht="50.25" customHeight="1" x14ac:dyDescent="0.25"/>
    <row r="75" ht="50.25" customHeight="1" x14ac:dyDescent="0.25"/>
    <row r="76" ht="50.25" customHeight="1" x14ac:dyDescent="0.25"/>
    <row r="77" ht="50.25" customHeight="1" x14ac:dyDescent="0.25"/>
    <row r="78" ht="50.25" customHeight="1" x14ac:dyDescent="0.25"/>
    <row r="79" ht="50.25" customHeight="1" x14ac:dyDescent="0.25"/>
    <row r="80" ht="50.25" customHeight="1" x14ac:dyDescent="0.25"/>
    <row r="81" ht="50.25" customHeight="1" x14ac:dyDescent="0.25"/>
    <row r="82" ht="50.25" customHeight="1" x14ac:dyDescent="0.25"/>
    <row r="83" ht="50.25" customHeight="1" x14ac:dyDescent="0.25"/>
    <row r="84" ht="50.25" customHeight="1" x14ac:dyDescent="0.25"/>
    <row r="85" ht="50.25" customHeight="1" x14ac:dyDescent="0.25"/>
    <row r="86" ht="50.25" customHeight="1" x14ac:dyDescent="0.25"/>
    <row r="87" ht="50.25" customHeight="1" x14ac:dyDescent="0.25"/>
    <row r="88" ht="50.25" customHeight="1" x14ac:dyDescent="0.25"/>
    <row r="89" ht="50.25" customHeight="1" x14ac:dyDescent="0.25"/>
    <row r="90" ht="50.25" customHeight="1" x14ac:dyDescent="0.25"/>
    <row r="91" ht="50.25" customHeight="1" x14ac:dyDescent="0.25"/>
    <row r="92" ht="50.25" customHeight="1" x14ac:dyDescent="0.25"/>
    <row r="93" ht="50.25" customHeight="1" x14ac:dyDescent="0.25"/>
    <row r="94" ht="50.25" customHeight="1" x14ac:dyDescent="0.25"/>
    <row r="95" ht="50.25" customHeight="1" x14ac:dyDescent="0.25"/>
    <row r="96" ht="50.25" customHeight="1" x14ac:dyDescent="0.25"/>
    <row r="97" ht="50.25" customHeight="1" x14ac:dyDescent="0.25"/>
    <row r="98" ht="50.25" customHeight="1" x14ac:dyDescent="0.25"/>
    <row r="99" ht="50.25" customHeight="1" x14ac:dyDescent="0.25"/>
    <row r="100" ht="50.25" customHeight="1" x14ac:dyDescent="0.25"/>
    <row r="101" ht="50.25" customHeight="1" x14ac:dyDescent="0.25"/>
    <row r="102" ht="50.25" customHeight="1" x14ac:dyDescent="0.25"/>
    <row r="103" ht="50.25" customHeight="1" x14ac:dyDescent="0.25"/>
  </sheetData>
  <sheetProtection algorithmName="SHA-512" hashValue="Mw0NUcKrYmS6ixeGUXI3izAN07VZ3FNVCE897HvJKHr224xQKCeqyko1YImdHHrI2/4PeRbHGwYQz7aZ2wm8XA==" saltValue="GNSInKarTsoITCXKUR9BQQ==" spinCount="100000" sheet="1" objects="1" scenarios="1" selectLockedCells="1"/>
  <mergeCells count="1">
    <mergeCell ref="B1:C1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01"/>
  <dimension ref="B1:G103"/>
  <sheetViews>
    <sheetView showGridLines="0" showRowColHeaders="0" zoomScale="115" zoomScaleNormal="115" workbookViewId="0">
      <pane xSplit="3" ySplit="3" topLeftCell="D4" activePane="bottomRight" state="frozen"/>
      <selection activeCell="B4" sqref="B4"/>
      <selection pane="topRight" activeCell="B4" sqref="B4"/>
      <selection pane="bottomLeft" activeCell="B4" sqref="B4"/>
      <selection pane="bottomRight" activeCell="D5" sqref="D5"/>
    </sheetView>
  </sheetViews>
  <sheetFormatPr baseColWidth="10" defaultRowHeight="15" x14ac:dyDescent="0.25"/>
  <cols>
    <col min="1" max="1" width="1.7109375" style="38" customWidth="1"/>
    <col min="2" max="2" width="30.7109375" style="38" customWidth="1"/>
    <col min="3" max="3" width="20.7109375" style="38" customWidth="1"/>
    <col min="4" max="5" width="60.7109375" style="38" customWidth="1"/>
    <col min="6" max="6" width="4.7109375" style="38" customWidth="1"/>
    <col min="7" max="7" width="9.140625" style="38" bestFit="1" customWidth="1"/>
    <col min="8" max="16384" width="11.42578125" style="38"/>
  </cols>
  <sheetData>
    <row r="1" spans="2:7" s="29" customFormat="1" ht="24.95" customHeight="1" x14ac:dyDescent="0.25">
      <c r="B1" s="64" t="s">
        <v>9</v>
      </c>
      <c r="C1" s="64"/>
      <c r="D1" s="49" t="s">
        <v>21</v>
      </c>
      <c r="E1" s="49" t="s">
        <v>50</v>
      </c>
      <c r="F1" s="27">
        <f>COUNTA(B:B)-2</f>
        <v>0</v>
      </c>
      <c r="G1" s="28" t="s">
        <v>20</v>
      </c>
    </row>
    <row r="2" spans="2:7" s="34" customFormat="1" ht="5.0999999999999996" customHeight="1" thickBot="1" x14ac:dyDescent="0.3">
      <c r="B2" s="30"/>
      <c r="C2" s="30"/>
      <c r="D2" s="30"/>
      <c r="E2" s="31"/>
      <c r="F2" s="32"/>
      <c r="G2" s="33"/>
    </row>
    <row r="3" spans="2:7" s="29" customFormat="1" ht="30" customHeight="1" x14ac:dyDescent="0.25">
      <c r="B3" s="35" t="s">
        <v>5</v>
      </c>
      <c r="C3" s="36" t="s">
        <v>6</v>
      </c>
      <c r="D3" s="36" t="s">
        <v>7</v>
      </c>
      <c r="E3" s="37" t="s">
        <v>27</v>
      </c>
    </row>
    <row r="4" spans="2:7" ht="50.25" customHeight="1" x14ac:dyDescent="0.25">
      <c r="B4" s="18"/>
      <c r="C4" s="19"/>
      <c r="D4" s="23"/>
      <c r="E4" s="25"/>
    </row>
    <row r="5" spans="2:7" ht="50.25" customHeight="1" thickBot="1" x14ac:dyDescent="0.3">
      <c r="B5" s="20"/>
      <c r="C5" s="21"/>
      <c r="D5" s="24"/>
      <c r="E5" s="26"/>
    </row>
    <row r="6" spans="2:7" ht="50.25" customHeight="1" x14ac:dyDescent="0.25">
      <c r="B6" s="29"/>
      <c r="C6" s="39"/>
      <c r="D6" s="29"/>
    </row>
    <row r="7" spans="2:7" ht="50.25" customHeight="1" x14ac:dyDescent="0.25">
      <c r="B7" s="29"/>
      <c r="C7" s="39"/>
      <c r="D7" s="29"/>
    </row>
    <row r="8" spans="2:7" ht="50.25" customHeight="1" x14ac:dyDescent="0.25">
      <c r="B8" s="29"/>
      <c r="C8" s="39"/>
      <c r="D8" s="29"/>
    </row>
    <row r="9" spans="2:7" ht="50.25" customHeight="1" x14ac:dyDescent="0.25">
      <c r="B9" s="29"/>
      <c r="C9" s="39"/>
      <c r="D9" s="29"/>
    </row>
    <row r="10" spans="2:7" ht="50.25" customHeight="1" x14ac:dyDescent="0.25">
      <c r="B10" s="29"/>
      <c r="C10" s="39"/>
      <c r="D10" s="29"/>
    </row>
    <row r="11" spans="2:7" ht="50.25" customHeight="1" x14ac:dyDescent="0.25">
      <c r="B11" s="29"/>
      <c r="C11" s="39"/>
      <c r="D11" s="29"/>
    </row>
    <row r="12" spans="2:7" ht="50.25" customHeight="1" x14ac:dyDescent="0.25">
      <c r="B12" s="29"/>
      <c r="C12" s="39"/>
      <c r="D12" s="29"/>
    </row>
    <row r="13" spans="2:7" ht="50.25" customHeight="1" x14ac:dyDescent="0.25">
      <c r="B13" s="29"/>
      <c r="C13" s="39"/>
      <c r="D13" s="29"/>
    </row>
    <row r="14" spans="2:7" ht="50.25" customHeight="1" x14ac:dyDescent="0.25">
      <c r="B14" s="29"/>
      <c r="C14" s="39"/>
      <c r="D14" s="29"/>
    </row>
    <row r="15" spans="2:7" ht="50.25" customHeight="1" x14ac:dyDescent="0.25">
      <c r="B15" s="29"/>
      <c r="C15" s="39"/>
      <c r="D15" s="29"/>
    </row>
    <row r="16" spans="2:7" ht="50.25" customHeight="1" x14ac:dyDescent="0.25">
      <c r="B16" s="29"/>
      <c r="C16" s="39"/>
      <c r="D16" s="29"/>
    </row>
    <row r="17" spans="2:4" ht="50.25" customHeight="1" x14ac:dyDescent="0.25">
      <c r="B17" s="29"/>
      <c r="C17" s="39"/>
      <c r="D17" s="29"/>
    </row>
    <row r="18" spans="2:4" ht="50.25" customHeight="1" x14ac:dyDescent="0.25">
      <c r="B18" s="29"/>
      <c r="C18" s="39"/>
      <c r="D18" s="29"/>
    </row>
    <row r="19" spans="2:4" ht="50.25" customHeight="1" x14ac:dyDescent="0.25"/>
    <row r="20" spans="2:4" ht="50.25" customHeight="1" x14ac:dyDescent="0.25"/>
    <row r="21" spans="2:4" ht="50.25" customHeight="1" x14ac:dyDescent="0.25"/>
    <row r="22" spans="2:4" ht="50.25" customHeight="1" x14ac:dyDescent="0.25"/>
    <row r="23" spans="2:4" ht="50.25" customHeight="1" x14ac:dyDescent="0.25"/>
    <row r="24" spans="2:4" ht="50.25" customHeight="1" x14ac:dyDescent="0.25"/>
    <row r="25" spans="2:4" ht="50.25" customHeight="1" x14ac:dyDescent="0.25"/>
    <row r="26" spans="2:4" ht="50.25" customHeight="1" x14ac:dyDescent="0.25"/>
    <row r="27" spans="2:4" ht="50.25" customHeight="1" x14ac:dyDescent="0.25"/>
    <row r="28" spans="2:4" ht="50.25" customHeight="1" x14ac:dyDescent="0.25"/>
    <row r="29" spans="2:4" ht="50.25" customHeight="1" x14ac:dyDescent="0.25"/>
    <row r="30" spans="2:4" ht="50.25" customHeight="1" x14ac:dyDescent="0.25"/>
    <row r="31" spans="2:4" ht="50.25" customHeight="1" x14ac:dyDescent="0.25"/>
    <row r="32" spans="2:4" ht="50.25" customHeight="1" x14ac:dyDescent="0.25"/>
    <row r="33" ht="50.25" customHeight="1" x14ac:dyDescent="0.25"/>
    <row r="34" ht="50.25" customHeight="1" x14ac:dyDescent="0.25"/>
    <row r="35" ht="50.25" customHeight="1" x14ac:dyDescent="0.25"/>
    <row r="36" ht="50.25" customHeight="1" x14ac:dyDescent="0.25"/>
    <row r="37" ht="50.25" customHeight="1" x14ac:dyDescent="0.25"/>
    <row r="38" ht="50.25" customHeight="1" x14ac:dyDescent="0.25"/>
    <row r="39" ht="50.25" customHeight="1" x14ac:dyDescent="0.25"/>
    <row r="40" ht="50.25" customHeight="1" x14ac:dyDescent="0.25"/>
    <row r="41" ht="50.25" customHeight="1" x14ac:dyDescent="0.25"/>
    <row r="42" ht="50.25" customHeight="1" x14ac:dyDescent="0.25"/>
    <row r="43" ht="50.25" customHeight="1" x14ac:dyDescent="0.25"/>
    <row r="44" ht="50.25" customHeight="1" x14ac:dyDescent="0.25"/>
    <row r="45" ht="50.25" customHeight="1" x14ac:dyDescent="0.25"/>
    <row r="46" ht="50.25" customHeight="1" x14ac:dyDescent="0.25"/>
    <row r="47" ht="50.25" customHeight="1" x14ac:dyDescent="0.25"/>
    <row r="48" ht="50.25" customHeight="1" x14ac:dyDescent="0.25"/>
    <row r="49" ht="50.25" customHeight="1" x14ac:dyDescent="0.25"/>
    <row r="50" ht="50.25" customHeight="1" x14ac:dyDescent="0.25"/>
    <row r="51" ht="50.25" customHeight="1" x14ac:dyDescent="0.25"/>
    <row r="52" ht="50.25" customHeight="1" x14ac:dyDescent="0.25"/>
    <row r="53" ht="50.25" customHeight="1" x14ac:dyDescent="0.25"/>
    <row r="54" ht="50.25" customHeight="1" x14ac:dyDescent="0.25"/>
    <row r="55" ht="50.25" customHeight="1" x14ac:dyDescent="0.25"/>
    <row r="56" ht="50.25" customHeight="1" x14ac:dyDescent="0.25"/>
    <row r="57" ht="50.25" customHeight="1" x14ac:dyDescent="0.25"/>
    <row r="58" ht="50.25" customHeight="1" x14ac:dyDescent="0.25"/>
    <row r="59" ht="50.25" customHeight="1" x14ac:dyDescent="0.25"/>
    <row r="60" ht="50.25" customHeight="1" x14ac:dyDescent="0.25"/>
    <row r="61" ht="50.25" customHeight="1" x14ac:dyDescent="0.25"/>
    <row r="62" ht="50.25" customHeight="1" x14ac:dyDescent="0.25"/>
    <row r="63" ht="50.25" customHeight="1" x14ac:dyDescent="0.25"/>
    <row r="64" ht="50.25" customHeight="1" x14ac:dyDescent="0.25"/>
    <row r="65" ht="50.25" customHeight="1" x14ac:dyDescent="0.25"/>
    <row r="66" ht="50.25" customHeight="1" x14ac:dyDescent="0.25"/>
    <row r="67" ht="50.25" customHeight="1" x14ac:dyDescent="0.25"/>
    <row r="68" ht="50.25" customHeight="1" x14ac:dyDescent="0.25"/>
    <row r="69" ht="50.25" customHeight="1" x14ac:dyDescent="0.25"/>
    <row r="70" ht="50.25" customHeight="1" x14ac:dyDescent="0.25"/>
    <row r="71" ht="50.25" customHeight="1" x14ac:dyDescent="0.25"/>
    <row r="72" ht="50.25" customHeight="1" x14ac:dyDescent="0.25"/>
    <row r="73" ht="50.25" customHeight="1" x14ac:dyDescent="0.25"/>
    <row r="74" ht="50.25" customHeight="1" x14ac:dyDescent="0.25"/>
    <row r="75" ht="50.25" customHeight="1" x14ac:dyDescent="0.25"/>
    <row r="76" ht="50.25" customHeight="1" x14ac:dyDescent="0.25"/>
    <row r="77" ht="50.25" customHeight="1" x14ac:dyDescent="0.25"/>
    <row r="78" ht="50.25" customHeight="1" x14ac:dyDescent="0.25"/>
    <row r="79" ht="50.25" customHeight="1" x14ac:dyDescent="0.25"/>
    <row r="80" ht="50.25" customHeight="1" x14ac:dyDescent="0.25"/>
    <row r="81" ht="50.25" customHeight="1" x14ac:dyDescent="0.25"/>
    <row r="82" ht="50.25" customHeight="1" x14ac:dyDescent="0.25"/>
    <row r="83" ht="50.25" customHeight="1" x14ac:dyDescent="0.25"/>
    <row r="84" ht="50.25" customHeight="1" x14ac:dyDescent="0.25"/>
    <row r="85" ht="50.25" customHeight="1" x14ac:dyDescent="0.25"/>
    <row r="86" ht="50.25" customHeight="1" x14ac:dyDescent="0.25"/>
    <row r="87" ht="50.25" customHeight="1" x14ac:dyDescent="0.25"/>
    <row r="88" ht="50.25" customHeight="1" x14ac:dyDescent="0.25"/>
    <row r="89" ht="50.25" customHeight="1" x14ac:dyDescent="0.25"/>
    <row r="90" ht="50.25" customHeight="1" x14ac:dyDescent="0.25"/>
    <row r="91" ht="50.25" customHeight="1" x14ac:dyDescent="0.25"/>
    <row r="92" ht="50.25" customHeight="1" x14ac:dyDescent="0.25"/>
    <row r="93" ht="50.25" customHeight="1" x14ac:dyDescent="0.25"/>
    <row r="94" ht="50.25" customHeight="1" x14ac:dyDescent="0.25"/>
    <row r="95" ht="50.25" customHeight="1" x14ac:dyDescent="0.25"/>
    <row r="96" ht="50.25" customHeight="1" x14ac:dyDescent="0.25"/>
    <row r="97" ht="50.25" customHeight="1" x14ac:dyDescent="0.25"/>
    <row r="98" ht="50.25" customHeight="1" x14ac:dyDescent="0.25"/>
    <row r="99" ht="50.25" customHeight="1" x14ac:dyDescent="0.25"/>
    <row r="100" ht="50.25" customHeight="1" x14ac:dyDescent="0.25"/>
    <row r="101" ht="50.25" customHeight="1" x14ac:dyDescent="0.25"/>
    <row r="102" ht="50.25" customHeight="1" x14ac:dyDescent="0.25"/>
    <row r="103" ht="50.25" customHeight="1" x14ac:dyDescent="0.25"/>
  </sheetData>
  <sheetProtection algorithmName="SHA-512" hashValue="SKsP3Vm5I+WwKohlHqoqGiYHqgIEMca0akzML8GTVC7Ir5NnX48gWoP6GDQHdgQ0A+1wzgt9WyQ8uFjka5K+kQ==" saltValue="0GpOgjVldVUIaNR9oaG2/g==" spinCount="100000" sheet="1" objects="1" scenarios="1" selectLockedCells="1"/>
  <mergeCells count="1">
    <mergeCell ref="B1:C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10</vt:i4>
      </vt:variant>
    </vt:vector>
  </HeadingPairs>
  <TitlesOfParts>
    <vt:vector size="14" baseType="lpstr">
      <vt:lpstr>CONSULTAR IMAGEN</vt:lpstr>
      <vt:lpstr>FÓRMULAS</vt:lpstr>
      <vt:lpstr>PERSONAJES</vt:lpstr>
      <vt:lpstr>HOJA_TIPO_NUEVA_TEMATICA</vt:lpstr>
      <vt:lpstr>CHICA_ANDANDO_IZQ_LENTO</vt:lpstr>
      <vt:lpstr>CHICA_ANDANDO_IZQ_RAPIDO</vt:lpstr>
      <vt:lpstr>CHICA_ESPALDAS_IZQ_1</vt:lpstr>
      <vt:lpstr>CHICA_ESPALDAS_IZQ_2</vt:lpstr>
      <vt:lpstr>CHICA_ESPALDAS_IZQ_3</vt:lpstr>
      <vt:lpstr>CODIGO_IMAGEN</vt:lpstr>
      <vt:lpstr>FÓRMULA_1</vt:lpstr>
      <vt:lpstr>FORMULA_2</vt:lpstr>
      <vt:lpstr>LISTA_FÓRMULAS</vt:lpstr>
      <vt:lpstr>LISTA_PERSONAJES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Milagros Huerta Gómez de Merodio</dc:creator>
  <cp:lastModifiedBy>Milagros Huerta Gómez de Merodio</cp:lastModifiedBy>
  <dcterms:created xsi:type="dcterms:W3CDTF">2020-12-22T09:34:32Z</dcterms:created>
  <dcterms:modified xsi:type="dcterms:W3CDTF">2021-04-16T16:35:34Z</dcterms:modified>
</cp:coreProperties>
</file>